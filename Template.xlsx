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usna\Downloads\"/>
    </mc:Choice>
  </mc:AlternateContent>
  <xr:revisionPtr revIDLastSave="0" documentId="13_ncr:1_{EF610C14-FC16-427A-8C50-647717DA6A5A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FORM" sheetId="1" r:id="rId1"/>
    <sheet name="GlobHor_DiffHor" sheetId="2" r:id="rId2"/>
    <sheet name="PVsyst Graph Data" sheetId="3" r:id="rId3"/>
    <sheet name="PAGE 1" sheetId="4" r:id="rId4"/>
    <sheet name="PAGE2" sheetId="5" r:id="rId5"/>
    <sheet name="PAGE 3" sheetId="6" r:id="rId6"/>
    <sheet name="PAGE 4" sheetId="7" r:id="rId7"/>
    <sheet name="PAGE 5" sheetId="8" r:id="rId8"/>
    <sheet name="PAGE 6" sheetId="9" r:id="rId9"/>
    <sheet name="PAGE 7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  <c r="B13" i="3" s="1"/>
  <c r="B10" i="9"/>
  <c r="B9" i="9"/>
  <c r="B6" i="9"/>
  <c r="B9" i="3"/>
  <c r="B8" i="9"/>
  <c r="B6" i="10"/>
  <c r="B7" i="10"/>
  <c r="B9" i="10"/>
  <c r="B8" i="10"/>
  <c r="B5" i="9"/>
  <c r="B4" i="9"/>
  <c r="B3" i="9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B21" i="8"/>
  <c r="B20" i="8"/>
  <c r="B19" i="8"/>
  <c r="B18" i="8"/>
  <c r="B17" i="8"/>
  <c r="B16" i="8"/>
  <c r="B15" i="8"/>
  <c r="B14" i="8"/>
  <c r="B13" i="8"/>
  <c r="B12" i="8"/>
  <c r="B11" i="8"/>
  <c r="B10" i="8"/>
  <c r="O8" i="2"/>
  <c r="O25" i="2" s="1"/>
  <c r="B9" i="8"/>
  <c r="D15" i="7"/>
  <c r="D16" i="7" s="1"/>
  <c r="D11" i="7"/>
  <c r="D12" i="7" s="1"/>
  <c r="B16" i="7"/>
  <c r="B15" i="7"/>
  <c r="B12" i="7"/>
  <c r="B11" i="7"/>
  <c r="D3" i="7"/>
  <c r="D73" i="1"/>
  <c r="D72" i="1"/>
  <c r="D71" i="1"/>
  <c r="B72" i="1"/>
  <c r="B71" i="1"/>
  <c r="D66" i="1"/>
  <c r="D64" i="1"/>
  <c r="D62" i="1"/>
  <c r="B69" i="1"/>
  <c r="B68" i="1"/>
  <c r="B67" i="1"/>
  <c r="B65" i="1"/>
  <c r="B64" i="1"/>
  <c r="B63" i="1"/>
  <c r="B62" i="1"/>
  <c r="B61" i="1"/>
  <c r="D56" i="1"/>
  <c r="D54" i="1"/>
  <c r="B58" i="1"/>
  <c r="B59" i="1"/>
  <c r="B57" i="1"/>
  <c r="B55" i="1"/>
  <c r="B54" i="1"/>
  <c r="B53" i="1"/>
  <c r="B52" i="1"/>
  <c r="B51" i="1"/>
  <c r="D46" i="1"/>
  <c r="D42" i="1"/>
  <c r="B49" i="1"/>
  <c r="B48" i="1"/>
  <c r="B47" i="1"/>
  <c r="B45" i="1"/>
  <c r="B44" i="1"/>
  <c r="B43" i="1"/>
  <c r="B42" i="1"/>
  <c r="B41" i="1"/>
  <c r="D36" i="1"/>
  <c r="D34" i="1"/>
  <c r="D32" i="1"/>
  <c r="D63" i="6"/>
  <c r="D62" i="6"/>
  <c r="D61" i="6"/>
  <c r="B62" i="6"/>
  <c r="B61" i="6"/>
  <c r="E56" i="6"/>
  <c r="D56" i="6"/>
  <c r="B53" i="6"/>
  <c r="B51" i="6"/>
  <c r="E46" i="6"/>
  <c r="D46" i="6"/>
  <c r="B43" i="6"/>
  <c r="B41" i="6"/>
  <c r="E36" i="6"/>
  <c r="D36" i="6"/>
  <c r="B33" i="6"/>
  <c r="B31" i="6"/>
  <c r="B57" i="6"/>
  <c r="B56" i="6"/>
  <c r="B58" i="6" s="1"/>
  <c r="B54" i="6"/>
  <c r="B47" i="6"/>
  <c r="B46" i="6"/>
  <c r="B48" i="6" s="1"/>
  <c r="B44" i="6"/>
  <c r="B37" i="6"/>
  <c r="B36" i="6"/>
  <c r="B38" i="6" s="1"/>
  <c r="B34" i="6"/>
  <c r="E26" i="6"/>
  <c r="D26" i="6"/>
  <c r="D23" i="6"/>
  <c r="B39" i="1"/>
  <c r="B38" i="1"/>
  <c r="B37" i="1"/>
  <c r="B35" i="1"/>
  <c r="B34" i="1"/>
  <c r="B33" i="1"/>
  <c r="B32" i="1"/>
  <c r="B31" i="1"/>
  <c r="G29" i="1"/>
  <c r="G27" i="1"/>
  <c r="G26" i="1"/>
  <c r="C29" i="1"/>
  <c r="C28" i="1"/>
  <c r="C27" i="1"/>
  <c r="C26" i="1"/>
  <c r="B28" i="6"/>
  <c r="B27" i="6"/>
  <c r="B26" i="6"/>
  <c r="B23" i="6"/>
  <c r="D17" i="6"/>
  <c r="F8" i="6"/>
  <c r="F7" i="6"/>
  <c r="F6" i="6"/>
  <c r="D10" i="6"/>
  <c r="D9" i="6"/>
  <c r="D8" i="6"/>
  <c r="D7" i="6"/>
  <c r="D6" i="6"/>
  <c r="B8" i="6"/>
  <c r="B7" i="6"/>
  <c r="B10" i="6"/>
  <c r="B9" i="6"/>
  <c r="B6" i="6"/>
  <c r="H7" i="1"/>
  <c r="F7" i="1"/>
  <c r="D7" i="1"/>
  <c r="B7" i="1"/>
  <c r="C4" i="1"/>
  <c r="C3" i="1"/>
  <c r="C2" i="1"/>
  <c r="B19" i="5"/>
  <c r="B4" i="8" s="1"/>
  <c r="D6" i="2"/>
  <c r="D5" i="2"/>
  <c r="D4" i="2"/>
  <c r="D3" i="2"/>
  <c r="H6" i="2"/>
  <c r="O3" i="2"/>
  <c r="U5" i="2"/>
  <c r="H3" i="2"/>
  <c r="B10" i="1" s="1"/>
  <c r="B10" i="2"/>
  <c r="D15" i="5"/>
  <c r="B14" i="5"/>
  <c r="D5" i="7"/>
  <c r="D79" i="1"/>
  <c r="B28" i="3" s="1"/>
  <c r="B5" i="7"/>
  <c r="B4" i="7"/>
  <c r="B3" i="7"/>
  <c r="B24" i="6"/>
  <c r="I3" i="6"/>
  <c r="F3" i="6"/>
  <c r="D3" i="6"/>
  <c r="B3" i="6"/>
  <c r="B21" i="6" s="1"/>
  <c r="F15" i="5"/>
  <c r="B5" i="5"/>
  <c r="B4" i="5"/>
  <c r="B3" i="5"/>
  <c r="B2" i="5"/>
  <c r="D10" i="1"/>
  <c r="B26" i="3"/>
  <c r="B25" i="3"/>
  <c r="D89" i="1"/>
  <c r="B89" i="1"/>
  <c r="D86" i="1"/>
  <c r="B86" i="1"/>
  <c r="B77" i="1"/>
  <c r="F11" i="1"/>
  <c r="B79" i="1" s="1"/>
  <c r="F10" i="1"/>
  <c r="B78" i="1" s="1"/>
  <c r="D77" i="1" s="1"/>
  <c r="B27" i="3" s="1"/>
  <c r="G23" i="2"/>
  <c r="Q22" i="2"/>
  <c r="D22" i="2"/>
  <c r="Q21" i="2"/>
  <c r="D21" i="2"/>
  <c r="Q20" i="2"/>
  <c r="D20" i="2"/>
  <c r="Q19" i="2"/>
  <c r="D19" i="2"/>
  <c r="Q18" i="2"/>
  <c r="D18" i="2"/>
  <c r="Q17" i="2"/>
  <c r="D17" i="2"/>
  <c r="Q16" i="2"/>
  <c r="D16" i="2"/>
  <c r="Q15" i="2"/>
  <c r="D15" i="2"/>
  <c r="Q14" i="2"/>
  <c r="D14" i="2"/>
  <c r="Q13" i="2"/>
  <c r="D13" i="2"/>
  <c r="Q12" i="2"/>
  <c r="D12" i="2"/>
  <c r="Q11" i="2"/>
  <c r="D11" i="2"/>
  <c r="B9" i="1" l="1"/>
  <c r="O26" i="2"/>
  <c r="F16" i="2"/>
  <c r="J16" i="2"/>
  <c r="I16" i="2"/>
  <c r="H16" i="2"/>
  <c r="K16" i="2"/>
  <c r="D11" i="1"/>
  <c r="F21" i="1"/>
  <c r="F20" i="1"/>
  <c r="F22" i="2"/>
  <c r="H22" i="2"/>
  <c r="I22" i="2"/>
  <c r="J22" i="2"/>
  <c r="K22" i="2"/>
  <c r="K21" i="2"/>
  <c r="J21" i="2"/>
  <c r="I21" i="2"/>
  <c r="H21" i="2"/>
  <c r="L21" i="2" s="1"/>
  <c r="M21" i="2" s="1"/>
  <c r="O21" i="2" s="1"/>
  <c r="F21" i="2"/>
  <c r="D24" i="1"/>
  <c r="K20" i="2"/>
  <c r="J20" i="2"/>
  <c r="I20" i="2"/>
  <c r="H20" i="2"/>
  <c r="F20" i="2"/>
  <c r="D23" i="1"/>
  <c r="F19" i="2"/>
  <c r="K19" i="2"/>
  <c r="I19" i="2"/>
  <c r="H19" i="2"/>
  <c r="J19" i="2"/>
  <c r="D22" i="1"/>
  <c r="J18" i="2"/>
  <c r="K18" i="2"/>
  <c r="H18" i="2"/>
  <c r="I18" i="2"/>
  <c r="F18" i="2"/>
  <c r="D21" i="1"/>
  <c r="F17" i="2"/>
  <c r="H17" i="2"/>
  <c r="I17" i="2"/>
  <c r="J17" i="2"/>
  <c r="K17" i="2"/>
  <c r="D20" i="1"/>
  <c r="B24" i="1"/>
  <c r="F15" i="2"/>
  <c r="H15" i="2"/>
  <c r="I15" i="2"/>
  <c r="J15" i="2"/>
  <c r="K15" i="2"/>
  <c r="B23" i="1"/>
  <c r="F14" i="2"/>
  <c r="H14" i="2"/>
  <c r="J14" i="2"/>
  <c r="K14" i="2"/>
  <c r="I14" i="2"/>
  <c r="B22" i="1"/>
  <c r="D23" i="2"/>
  <c r="B4" i="3" s="1"/>
  <c r="K13" i="2"/>
  <c r="J13" i="2"/>
  <c r="I13" i="2"/>
  <c r="H13" i="2"/>
  <c r="L13" i="2" s="1"/>
  <c r="M13" i="2" s="1"/>
  <c r="O13" i="2" s="1"/>
  <c r="F13" i="2"/>
  <c r="B21" i="1"/>
  <c r="Q23" i="2"/>
  <c r="H12" i="2"/>
  <c r="I12" i="2"/>
  <c r="J12" i="2"/>
  <c r="K12" i="2"/>
  <c r="F12" i="2"/>
  <c r="B20" i="1"/>
  <c r="F11" i="2"/>
  <c r="F23" i="2" s="1"/>
  <c r="H11" i="2"/>
  <c r="I11" i="2"/>
  <c r="J11" i="2"/>
  <c r="K11" i="2"/>
  <c r="L16" i="2" l="1"/>
  <c r="M16" i="2" s="1"/>
  <c r="O16" i="2" s="1"/>
  <c r="L20" i="2"/>
  <c r="M20" i="2" s="1"/>
  <c r="O20" i="2" s="1"/>
  <c r="L19" i="2"/>
  <c r="M19" i="2" s="1"/>
  <c r="O19" i="2" s="1"/>
  <c r="L18" i="2"/>
  <c r="M18" i="2" s="1"/>
  <c r="O18" i="2" s="1"/>
  <c r="L14" i="2"/>
  <c r="M14" i="2" s="1"/>
  <c r="O14" i="2" s="1"/>
  <c r="D90" i="1"/>
  <c r="D61" i="1"/>
  <c r="D52" i="6" s="1"/>
  <c r="D53" i="6" s="1"/>
  <c r="D52" i="1" s="1"/>
  <c r="D87" i="1"/>
  <c r="D51" i="1"/>
  <c r="D42" i="6" s="1"/>
  <c r="D43" i="6" s="1"/>
  <c r="B90" i="1"/>
  <c r="D41" i="1"/>
  <c r="D32" i="6" s="1"/>
  <c r="D33" i="6" s="1"/>
  <c r="B87" i="1"/>
  <c r="B84" i="1" s="1"/>
  <c r="D31" i="1"/>
  <c r="D22" i="6" s="1"/>
  <c r="R21" i="2"/>
  <c r="T21" i="2"/>
  <c r="R14" i="2"/>
  <c r="T14" i="2"/>
  <c r="H23" i="2"/>
  <c r="I23" i="2"/>
  <c r="J23" i="2"/>
  <c r="K23" i="2"/>
  <c r="R13" i="2"/>
  <c r="T13" i="2"/>
  <c r="F22" i="1"/>
  <c r="B14" i="1"/>
  <c r="L22" i="2"/>
  <c r="M22" i="2" s="1"/>
  <c r="O22" i="2" s="1"/>
  <c r="L11" i="2"/>
  <c r="M11" i="2" s="1"/>
  <c r="L15" i="2"/>
  <c r="M15" i="2" s="1"/>
  <c r="O15" i="2" s="1"/>
  <c r="L12" i="2"/>
  <c r="M12" i="2" s="1"/>
  <c r="O12" i="2" s="1"/>
  <c r="L17" i="2"/>
  <c r="M17" i="2" s="1"/>
  <c r="O17" i="2" s="1"/>
  <c r="R19" i="2" l="1"/>
  <c r="T19" i="2"/>
  <c r="T18" i="2"/>
  <c r="R18" i="2"/>
  <c r="L23" i="2"/>
  <c r="B5" i="3" s="1"/>
  <c r="R20" i="2"/>
  <c r="T20" i="2"/>
  <c r="T16" i="2"/>
  <c r="R16" i="2"/>
  <c r="U21" i="2"/>
  <c r="S21" i="2"/>
  <c r="U14" i="2"/>
  <c r="S14" i="2"/>
  <c r="E61" i="1"/>
  <c r="E52" i="6" s="1"/>
  <c r="E51" i="1"/>
  <c r="E42" i="6" s="1"/>
  <c r="E41" i="1"/>
  <c r="E32" i="6" s="1"/>
  <c r="E31" i="1"/>
  <c r="E22" i="6" s="1"/>
  <c r="T22" i="2"/>
  <c r="R22" i="2"/>
  <c r="M23" i="2"/>
  <c r="B6" i="3" s="1"/>
  <c r="O11" i="2"/>
  <c r="T15" i="2"/>
  <c r="R15" i="2"/>
  <c r="T12" i="2"/>
  <c r="R12" i="2"/>
  <c r="T17" i="2"/>
  <c r="R17" i="2"/>
  <c r="U13" i="2"/>
  <c r="S13" i="2"/>
  <c r="U19" i="2" l="1"/>
  <c r="S19" i="2"/>
  <c r="U18" i="2"/>
  <c r="S18" i="2"/>
  <c r="U20" i="2"/>
  <c r="S20" i="2"/>
  <c r="S16" i="2"/>
  <c r="U16" i="2"/>
  <c r="U17" i="2"/>
  <c r="S17" i="2"/>
  <c r="R11" i="2"/>
  <c r="S11" i="2" s="1"/>
  <c r="T11" i="2"/>
  <c r="T23" i="2"/>
  <c r="O23" i="2"/>
  <c r="B18" i="5" s="1"/>
  <c r="U22" i="2"/>
  <c r="S22" i="2"/>
  <c r="U15" i="2"/>
  <c r="S15" i="2"/>
  <c r="U12" i="2"/>
  <c r="S12" i="2"/>
  <c r="B16" i="1" l="1"/>
  <c r="F18" i="5"/>
  <c r="D4" i="8" s="1"/>
  <c r="B3" i="8"/>
  <c r="D18" i="5"/>
  <c r="D3" i="8" s="1"/>
  <c r="U11" i="2"/>
  <c r="U23" i="2" s="1"/>
  <c r="B22" i="3" s="1"/>
  <c r="R23" i="2"/>
  <c r="F19" i="5" s="1"/>
  <c r="D5" i="8" s="1"/>
  <c r="O2" i="2"/>
  <c r="O28" i="2"/>
  <c r="O27" i="2" s="1"/>
  <c r="B13" i="1"/>
  <c r="B14" i="3" s="1"/>
  <c r="B15" i="3" s="1"/>
  <c r="B16" i="3" s="1"/>
  <c r="B7" i="9" s="1"/>
  <c r="S23" i="2"/>
  <c r="B21" i="3" s="1"/>
  <c r="B20" i="3" l="1"/>
  <c r="B29" i="3" s="1"/>
  <c r="B17" i="1"/>
  <c r="O29" i="2"/>
  <c r="O30" i="2"/>
  <c r="B15" i="1"/>
  <c r="B34" i="3"/>
</calcChain>
</file>

<file path=xl/sharedStrings.xml><?xml version="1.0" encoding="utf-8"?>
<sst xmlns="http://schemas.openxmlformats.org/spreadsheetml/2006/main" count="556" uniqueCount="305">
  <si>
    <t>INPUT</t>
  </si>
  <si>
    <t>Value</t>
  </si>
  <si>
    <t>Unit</t>
  </si>
  <si>
    <t>Orientation</t>
  </si>
  <si>
    <t>No. Panel</t>
  </si>
  <si>
    <t>TF</t>
  </si>
  <si>
    <t>P50 Annual Production</t>
  </si>
  <si>
    <t>kWh/year</t>
  </si>
  <si>
    <t>Ori 1</t>
  </si>
  <si>
    <t>PV Size</t>
  </si>
  <si>
    <t>kWp</t>
  </si>
  <si>
    <t>Year-to-Year Weather Variability</t>
  </si>
  <si>
    <t>%</t>
  </si>
  <si>
    <t>Soiling &amp; Mismatch Uncertainty</t>
  </si>
  <si>
    <t>Ori 2</t>
  </si>
  <si>
    <t>PV Module Uncertainty</t>
  </si>
  <si>
    <t>Degradation Uncertainty</t>
  </si>
  <si>
    <t>Ori 3</t>
  </si>
  <si>
    <t>Optical Loss</t>
  </si>
  <si>
    <t>Inverter Efficiency Uncertainty</t>
  </si>
  <si>
    <t>Customer Variability</t>
  </si>
  <si>
    <t>Ori 4</t>
  </si>
  <si>
    <t>Annual Load</t>
  </si>
  <si>
    <t>Input / Month</t>
  </si>
  <si>
    <t>GlobHor</t>
  </si>
  <si>
    <t>Monthly %</t>
  </si>
  <si>
    <t>Diffuse Ratio</t>
  </si>
  <si>
    <t>DiffHor</t>
  </si>
  <si>
    <t>T_Amb (°C)</t>
  </si>
  <si>
    <t>Ori1 GlobInc</t>
  </si>
  <si>
    <t>Ori2 GlobInc</t>
  </si>
  <si>
    <t>Ori3 GlobInc</t>
  </si>
  <si>
    <t>Ori4 GlobInc</t>
  </si>
  <si>
    <t>GlobInc</t>
  </si>
  <si>
    <t>GlobEff</t>
  </si>
  <si>
    <t>Monthly Performance Factor</t>
  </si>
  <si>
    <t>EArray</t>
  </si>
  <si>
    <t>Split %</t>
  </si>
  <si>
    <t>E_User</t>
  </si>
  <si>
    <t>E_Solar</t>
  </si>
  <si>
    <t>E_Grid</t>
  </si>
  <si>
    <t>PR Ratio</t>
  </si>
  <si>
    <t>EFrGrid</t>
  </si>
  <si>
    <t>YEAR INPUT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</si>
  <si>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</si>
  <si>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</si>
  <si>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</si>
  <si>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</si>
  <si>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</si>
  <si>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</si>
  <si>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</si>
  <si>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</si>
  <si>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</si>
  <si>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</si>
  <si>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</si>
  <si>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</si>
  <si>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TOTAL</t>
  </si>
  <si>
    <t>System Uncertainty</t>
  </si>
  <si>
    <t>bulan kering: ±0.45–0.50</t>
  </si>
  <si>
    <t>Global Variability</t>
  </si>
  <si>
    <t>bulan hujan: ±0.55–0.65</t>
  </si>
  <si>
    <t>P50</t>
  </si>
  <si>
    <t>Lokasi</t>
  </si>
  <si>
    <t>GlobHor anggaran</t>
  </si>
  <si>
    <t>P75</t>
  </si>
  <si>
    <t>Kuala Lumpur</t>
  </si>
  <si>
    <t>±1650–1700 kWh/m²/year</t>
  </si>
  <si>
    <t>P90</t>
  </si>
  <si>
    <t>Penang</t>
  </si>
  <si>
    <t>±1700–1800 kWh/m²/year</t>
  </si>
  <si>
    <t>Johor</t>
  </si>
  <si>
    <t>±1600–1700 kWh/m²/year</t>
  </si>
  <si>
    <t>Sabah/Sarawak</t>
  </si>
  <si>
    <t>boleh berbeza</t>
  </si>
  <si>
    <t>PAGE 1</t>
  </si>
  <si>
    <t xml:space="preserve">client name </t>
  </si>
  <si>
    <t xml:space="preserve">coordinate </t>
  </si>
  <si>
    <t xml:space="preserve">short address </t>
  </si>
  <si>
    <t>PAGE 2</t>
  </si>
  <si>
    <t>Orientation #1</t>
  </si>
  <si>
    <t>Orientation #2</t>
  </si>
  <si>
    <t>Orientation #3</t>
  </si>
  <si>
    <t>Orientation #4</t>
  </si>
  <si>
    <t>Titl/Azimut</t>
  </si>
  <si>
    <t xml:space="preserve">Pv Array </t>
  </si>
  <si>
    <t xml:space="preserve">Inverters </t>
  </si>
  <si>
    <t xml:space="preserve">Battery pack </t>
  </si>
  <si>
    <t>no of modules</t>
  </si>
  <si>
    <t xml:space="preserve">Nb. Of units </t>
  </si>
  <si>
    <t xml:space="preserve">nb. Of units </t>
  </si>
  <si>
    <t xml:space="preserve">pnom total </t>
  </si>
  <si>
    <t xml:space="preserve">total power </t>
  </si>
  <si>
    <t xml:space="preserve">voltage </t>
  </si>
  <si>
    <t xml:space="preserve">pnomr ratio </t>
  </si>
  <si>
    <t xml:space="preserve">capacity </t>
  </si>
  <si>
    <t xml:space="preserve">Results summary </t>
  </si>
  <si>
    <t xml:space="preserve">Produced energy </t>
  </si>
  <si>
    <t xml:space="preserve">user energy </t>
  </si>
  <si>
    <t xml:space="preserve">specific production </t>
  </si>
  <si>
    <t xml:space="preserve">Perf Ratio PR </t>
  </si>
  <si>
    <t xml:space="preserve">Solar fraction SF </t>
  </si>
  <si>
    <t>PAGE 3</t>
  </si>
  <si>
    <t xml:space="preserve">Storage </t>
  </si>
  <si>
    <t>Self consumption</t>
  </si>
  <si>
    <t>Nov.</t>
  </si>
  <si>
    <t xml:space="preserve">Feb </t>
  </si>
  <si>
    <t>July</t>
  </si>
  <si>
    <t>Dec.</t>
  </si>
  <si>
    <t>March</t>
  </si>
  <si>
    <t>Aug.</t>
  </si>
  <si>
    <t>Year</t>
  </si>
  <si>
    <t xml:space="preserve">April </t>
  </si>
  <si>
    <t>Sept</t>
  </si>
  <si>
    <t>PV Array Characteristics</t>
  </si>
  <si>
    <t xml:space="preserve">Manufacturer </t>
  </si>
  <si>
    <t>Astronergy</t>
  </si>
  <si>
    <t>Hoymiles</t>
  </si>
  <si>
    <t>Model</t>
  </si>
  <si>
    <t>HIS-5L-G3</t>
  </si>
  <si>
    <t>(Custom parameters definition)</t>
  </si>
  <si>
    <t>Unit Nom. Power</t>
  </si>
  <si>
    <t>Array #1 - PV Array</t>
  </si>
  <si>
    <t>Number of inverters</t>
  </si>
  <si>
    <t>Tilt/Azimuth</t>
  </si>
  <si>
    <t>Total power</t>
  </si>
  <si>
    <t>Number of PV modules</t>
  </si>
  <si>
    <t>Nominal (STC)</t>
  </si>
  <si>
    <t xml:space="preserve">Operating voltage </t>
  </si>
  <si>
    <t>90-550</t>
  </si>
  <si>
    <t>Modules</t>
  </si>
  <si>
    <t>At operating cond. (50°C)</t>
  </si>
  <si>
    <t>Pnom ratio</t>
  </si>
  <si>
    <t>Pmpp</t>
  </si>
  <si>
    <t>U mpp</t>
  </si>
  <si>
    <t>I mpp</t>
  </si>
  <si>
    <t>Array #2 - PV Array</t>
  </si>
  <si>
    <t>Array #3 - PV Array</t>
  </si>
  <si>
    <t>Array #4 - PV Array</t>
  </si>
  <si>
    <t>Total PV power</t>
  </si>
  <si>
    <t>Total inverter power</t>
  </si>
  <si>
    <t>Total</t>
  </si>
  <si>
    <t xml:space="preserve">Number of inverers </t>
  </si>
  <si>
    <t xml:space="preserve">Pnom ratio </t>
  </si>
  <si>
    <t>PAGE 4</t>
  </si>
  <si>
    <t xml:space="preserve">Grid Storage </t>
  </si>
  <si>
    <t>Battery input charger</t>
  </si>
  <si>
    <t>Battery Pack</t>
  </si>
  <si>
    <t>Max. charging power</t>
  </si>
  <si>
    <t xml:space="preserve">Voltage </t>
  </si>
  <si>
    <t xml:space="preserve">Battery to grid inverter </t>
  </si>
  <si>
    <t xml:space="preserve">Nominal Capacity </t>
  </si>
  <si>
    <t>max discharing power</t>
  </si>
  <si>
    <t>Norminal Energy</t>
  </si>
  <si>
    <t>Usable energy</t>
  </si>
  <si>
    <t>DC Wiring losses</t>
  </si>
  <si>
    <t xml:space="preserve">Loss fraction </t>
  </si>
  <si>
    <t>Array #1 - PV Array (Length)</t>
  </si>
  <si>
    <t>Array #3 - PV Array (Length)</t>
  </si>
  <si>
    <t xml:space="preserve">Global array res. </t>
  </si>
  <si>
    <t>Array #2 - PV Array (Length)</t>
  </si>
  <si>
    <t>Array #4 - PV Array (Length)</t>
  </si>
  <si>
    <t>AC Wiring losses</t>
  </si>
  <si>
    <t>HIS MODEL</t>
  </si>
  <si>
    <t>HIT MODEL</t>
  </si>
  <si>
    <t xml:space="preserve">Inverter voltage </t>
  </si>
  <si>
    <t>Global System</t>
  </si>
  <si>
    <t xml:space="preserve">Wire section </t>
  </si>
  <si>
    <t>2X4</t>
  </si>
  <si>
    <t>3X3</t>
  </si>
  <si>
    <t xml:space="preserve">Wires length </t>
  </si>
  <si>
    <t>PV SYST GRAPH DATA MASTER</t>
  </si>
  <si>
    <t>1. IRRADIATION INPUT</t>
  </si>
  <si>
    <t>Global Horizontal Irradiation (GlobHor)</t>
  </si>
  <si>
    <t>Global Incident in Collector Plane (GlobInc)</t>
  </si>
  <si>
    <t>Effective Irradiation (GlobEff)</t>
  </si>
  <si>
    <t>2. PV ENERGY LOSS DIAGRAM</t>
  </si>
  <si>
    <t>PV Nominal Energy at STC (kWh)</t>
  </si>
  <si>
    <t>Module Degradation Loss (%)</t>
  </si>
  <si>
    <t>Temperature Loss (%)</t>
  </si>
  <si>
    <t>Mismatch Loss (%)</t>
  </si>
  <si>
    <t>DC Wiring Loss (%)</t>
  </si>
  <si>
    <t>Final Energy After AC Loss (kWh)</t>
  </si>
  <si>
    <t>3. ENERGY BALANCE (NO BATTERY)</t>
  </si>
  <si>
    <t>Direct Use / E_Solar (kWh)</t>
  </si>
  <si>
    <t>Grid Export / E_Grid (kWh)</t>
  </si>
  <si>
    <t>Grid Import / EFrGrid (kWh)</t>
  </si>
  <si>
    <t>4. BATTERY OPTION</t>
  </si>
  <si>
    <t>Battery Capacity (kWh)</t>
  </si>
  <si>
    <t>Usable Energy (kWh)</t>
  </si>
  <si>
    <t>Max Charging Power (kW)</t>
  </si>
  <si>
    <t>Max Discharging Power (kW)</t>
  </si>
  <si>
    <t>Battery Stored Energy (kWh)</t>
  </si>
  <si>
    <t>Battery Discharged Energy (kWh)</t>
  </si>
  <si>
    <t>Battery Loss (kWh)</t>
  </si>
  <si>
    <t>5. P50 P75 P90</t>
  </si>
  <si>
    <t>Array Virtual Energy at MPP</t>
  </si>
  <si>
    <t>Available Energy at Inverter Output</t>
  </si>
  <si>
    <t>Final Energy After AC Loss</t>
  </si>
  <si>
    <t xml:space="preserve">Variability </t>
  </si>
  <si>
    <t>kWh</t>
  </si>
  <si>
    <t>KHOR MEOW SWEE</t>
  </si>
  <si>
    <t>19, LORONG CENDERAWASIH INDAH 4</t>
  </si>
  <si>
    <t>CLIENT NAME</t>
  </si>
  <si>
    <t>COORDINATE</t>
  </si>
  <si>
    <t>SHORT ADDRESS</t>
  </si>
  <si>
    <t>GEOGRAPHICAL SITE</t>
  </si>
  <si>
    <t>WEARTHER DATA</t>
  </si>
  <si>
    <t xml:space="preserve">LATITUDE </t>
  </si>
  <si>
    <t>LONGITUDE</t>
  </si>
  <si>
    <t>ORIENTATION #1</t>
  </si>
  <si>
    <t>TILT/AZIMUTH</t>
  </si>
  <si>
    <t xml:space="preserve">PROJECT SUMMARY </t>
  </si>
  <si>
    <t>SYSTEM SUMMARY</t>
  </si>
  <si>
    <t>ORIENTATION #2</t>
  </si>
  <si>
    <t>ORIENTATION #3</t>
  </si>
  <si>
    <t>ORIENTATION #4</t>
  </si>
  <si>
    <t xml:space="preserve">System information </t>
  </si>
  <si>
    <t>PV Array</t>
  </si>
  <si>
    <t>Nb.of modules</t>
  </si>
  <si>
    <t xml:space="preserve">Pnom total </t>
  </si>
  <si>
    <t xml:space="preserve">Nb.of units </t>
  </si>
  <si>
    <t xml:space="preserve"> Pnom ratio</t>
  </si>
  <si>
    <t xml:space="preserve">Capacity </t>
  </si>
  <si>
    <t xml:space="preserve">Produced Energy </t>
  </si>
  <si>
    <t xml:space="preserve">Used Energy </t>
  </si>
  <si>
    <t xml:space="preserve">Specific production </t>
  </si>
  <si>
    <t xml:space="preserve">Perf. Ratio PR </t>
  </si>
  <si>
    <t xml:space="preserve">Solar Fraction SF </t>
  </si>
  <si>
    <t>GENERAL PARAMETERS</t>
  </si>
  <si>
    <t>Self Consumption</t>
  </si>
  <si>
    <t>PV Module</t>
  </si>
  <si>
    <t xml:space="preserve">Model </t>
  </si>
  <si>
    <t>Custom parameters definition</t>
  </si>
  <si>
    <t xml:space="preserve">Inverter </t>
  </si>
  <si>
    <t>Array #2- PV Array</t>
  </si>
  <si>
    <t>Array #3- PV Array</t>
  </si>
  <si>
    <t>Array #4- PV Array</t>
  </si>
  <si>
    <t>Grid storage - Self Consumption</t>
  </si>
  <si>
    <t>Nb. Of units</t>
  </si>
  <si>
    <t>Nominal Capacity (C10)</t>
  </si>
  <si>
    <t>Nominal energy</t>
  </si>
  <si>
    <t xml:space="preserve">Battery Input charger </t>
  </si>
  <si>
    <t xml:space="preserve">Battery to Grid Inverter </t>
  </si>
  <si>
    <t>Max. discharging power</t>
  </si>
  <si>
    <t xml:space="preserve">DC wiring losses </t>
  </si>
  <si>
    <t>Loss Fraction</t>
  </si>
  <si>
    <t xml:space="preserve">AC wiring losses </t>
  </si>
  <si>
    <t>Main results</t>
  </si>
  <si>
    <t>System Production</t>
  </si>
  <si>
    <t xml:space="preserve">User Energy </t>
  </si>
  <si>
    <t xml:space="preserve">Specific Production </t>
  </si>
  <si>
    <t>Balances and main results</t>
  </si>
  <si>
    <t>T_Amb</t>
  </si>
  <si>
    <t>Earray</t>
  </si>
  <si>
    <t>EfrGrid</t>
  </si>
  <si>
    <t xml:space="preserve">Loss diagram </t>
  </si>
  <si>
    <t>Globinc</t>
  </si>
  <si>
    <t xml:space="preserve">Pv nominal </t>
  </si>
  <si>
    <t xml:space="preserve">Array Virtual </t>
  </si>
  <si>
    <t xml:space="preserve">Final energy after ac loss </t>
  </si>
  <si>
    <t xml:space="preserve">Efr Grid </t>
  </si>
  <si>
    <t>Battery Stored</t>
  </si>
  <si>
    <t>Direct uses</t>
  </si>
  <si>
    <t xml:space="preserve">P50=P90 evaluation </t>
  </si>
  <si>
    <t>Year to year variability (Variance)</t>
  </si>
  <si>
    <t xml:space="preserve">Weather data </t>
  </si>
  <si>
    <t xml:space="preserve">Annual production probility </t>
  </si>
  <si>
    <t xml:space="preserve">P50 </t>
  </si>
  <si>
    <t>20/180°</t>
  </si>
  <si>
    <t>CHSMM66RN(DG)/F-BH-630</t>
  </si>
  <si>
    <t>CHSMM66RN(DG)/F-BH-630.PAN</t>
  </si>
  <si>
    <t>HIS Model</t>
  </si>
  <si>
    <t>HIT Model</t>
  </si>
  <si>
    <t>150-990</t>
  </si>
  <si>
    <t>2x4</t>
  </si>
  <si>
    <t>3x3</t>
  </si>
  <si>
    <t xml:space="preserve">NOTES </t>
  </si>
  <si>
    <t>Perlis</t>
  </si>
  <si>
    <t>Kedah</t>
  </si>
  <si>
    <t>Pulau Pinang</t>
  </si>
  <si>
    <t>Perak</t>
  </si>
  <si>
    <t>Selangor</t>
  </si>
  <si>
    <t>Putrajaya</t>
  </si>
  <si>
    <t>Negeri Sembilan</t>
  </si>
  <si>
    <t>Melaka</t>
  </si>
  <si>
    <t>Pahang</t>
  </si>
  <si>
    <t>Terengganu</t>
  </si>
  <si>
    <t>Kelantan</t>
  </si>
  <si>
    <t>Sabah</t>
  </si>
  <si>
    <t>Sarawak</t>
  </si>
  <si>
    <t xml:space="preserve">Negeri </t>
  </si>
  <si>
    <t>Assumption</t>
  </si>
  <si>
    <t>Selangor / Kuala Lumpur</t>
  </si>
  <si>
    <t>Utara</t>
  </si>
  <si>
    <t>Selatan</t>
  </si>
  <si>
    <t>Apartment / kecil</t>
  </si>
  <si>
    <t>3,000 – 5,000 kWh/year</t>
  </si>
  <si>
    <t>Rumah biasa 1 tingkat</t>
  </si>
  <si>
    <t>6,000 – 8,000 kWh/year</t>
  </si>
  <si>
    <t>Rumah teres besar</t>
  </si>
  <si>
    <t>8,000 – 12,000 kWh/year</t>
  </si>
  <si>
    <t>Semi-D</t>
  </si>
  <si>
    <t>12,000 – 18,000 kWh/year</t>
  </si>
  <si>
    <t>Banglo</t>
  </si>
  <si>
    <t>18,000 – 30,000 kWh/year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</si>
</sst>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%"/>
    <numFmt numFmtId="167" formatCode="_-* #,##0.0_-;\-* #,##0.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5" fillId="0" borderId="0"/>
    <xf numFmtId="43" fontId="5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3" fillId="0" borderId="0" xfId="0" applyFont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164" fontId="0" fillId="4" borderId="0" xfId="0" applyNumberForma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/>
    <xf numFmtId="166" fontId="0" fillId="2" borderId="0" xfId="0" applyNumberFormat="1" applyFill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9" fontId="0" fillId="0" borderId="0" xfId="1" applyFont="1"/>
    <xf numFmtId="0" fontId="0" fillId="0" borderId="0" xfId="1" applyNumberFormat="1" applyFont="1"/>
    <xf numFmtId="0" fontId="2" fillId="0" borderId="0" xfId="0" applyFont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5" borderId="0" xfId="0" applyFont="1" applyFill="1" applyAlignment="1">
      <alignment vertical="center"/>
    </xf>
    <xf numFmtId="2" fontId="0" fillId="0" borderId="0" xfId="0" applyNumberFormat="1" applyAlignment="1">
      <alignment vertical="center"/>
    </xf>
    <xf numFmtId="2" fontId="0" fillId="6" borderId="0" xfId="0" applyNumberFormat="1" applyFill="1" applyAlignment="1">
      <alignment vertical="center"/>
    </xf>
    <xf numFmtId="2" fontId="0" fillId="0" borderId="0" xfId="1" applyNumberFormat="1" applyFont="1"/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left"/>
    </xf>
    <xf numFmtId="167" fontId="5" fillId="0" borderId="0" xfId="2" applyNumberForma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9" fillId="0" borderId="0" xfId="0" applyFont="1" applyAlignment="1">
      <alignment horizontal="left"/>
    </xf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/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" fontId="0" fillId="7" borderId="0" xfId="0" applyNumberFormat="1" applyFill="1" applyAlignment="1">
      <alignment horizontal="right"/>
    </xf>
    <xf numFmtId="164" fontId="0" fillId="7" borderId="0" xfId="0" applyNumberFormat="1" applyFill="1" applyAlignment="1">
      <alignment horizontal="right"/>
    </xf>
    <xf numFmtId="0" fontId="10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opLeftCell="A4" zoomScale="85" zoomScaleNormal="85" workbookViewId="0">
      <selection activeCell="B13" sqref="B13"/>
    </sheetView>
  </sheetViews>
  <sheetFormatPr defaultRowHeight="15" x14ac:dyDescent="0.25"/>
  <cols>
    <col min="1" max="1" width="29.7109375" bestFit="1" customWidth="1"/>
    <col min="2" max="2" width="16.5703125" bestFit="1" customWidth="1"/>
    <col min="3" max="3" width="35.140625" bestFit="1" customWidth="1"/>
    <col min="4" max="4" width="30.85546875" bestFit="1" customWidth="1"/>
    <col min="5" max="5" width="13.85546875" customWidth="1"/>
    <col min="6" max="6" width="12.5703125" bestFit="1" customWidth="1"/>
    <col min="7" max="7" width="13.85546875" bestFit="1" customWidth="1"/>
    <col min="8" max="8" width="7.5703125" bestFit="1" customWidth="1"/>
  </cols>
  <sheetData>
    <row r="1" spans="1:10" x14ac:dyDescent="0.25">
      <c r="A1" s="38" t="s">
        <v>74</v>
      </c>
    </row>
    <row r="2" spans="1:10" x14ac:dyDescent="0.25">
      <c r="A2" s="70" t="s">
        <v>75</v>
      </c>
      <c r="B2" s="71"/>
      <c r="C2" t="str">
        <f>'PAGE 1'!B1</f>
        <v>KHOR MEOW SWEE</v>
      </c>
    </row>
    <row r="3" spans="1:10" x14ac:dyDescent="0.25">
      <c r="A3" s="70" t="s">
        <v>76</v>
      </c>
      <c r="B3" s="71"/>
      <c r="C3" t="str">
        <f>('PAGE 1'!B2)&amp;('PAGE 1'!C2)</f>
        <v>5.182659100.480854</v>
      </c>
    </row>
    <row r="4" spans="1:10" x14ac:dyDescent="0.25">
      <c r="A4" s="70" t="s">
        <v>77</v>
      </c>
      <c r="B4" s="71"/>
      <c r="C4" t="str">
        <f>'PAGE 1'!B3</f>
        <v>19, LORONG CENDERAWASIH INDAH 4</v>
      </c>
    </row>
    <row r="5" spans="1:10" x14ac:dyDescent="0.25">
      <c r="A5" s="34" t="s">
        <v>78</v>
      </c>
      <c r="B5" s="32"/>
    </row>
    <row r="6" spans="1:10" x14ac:dyDescent="0.25">
      <c r="A6" s="34" t="s">
        <v>79</v>
      </c>
      <c r="B6" s="32"/>
      <c r="C6" s="34" t="s">
        <v>80</v>
      </c>
      <c r="E6" s="34" t="s">
        <v>81</v>
      </c>
      <c r="G6" s="34" t="s">
        <v>82</v>
      </c>
    </row>
    <row r="7" spans="1:10" x14ac:dyDescent="0.25">
      <c r="A7" s="32" t="s">
        <v>83</v>
      </c>
      <c r="B7" s="32" t="str">
        <f>PAGE2!B9</f>
        <v>20/180°</v>
      </c>
      <c r="C7" s="32" t="s">
        <v>83</v>
      </c>
      <c r="D7" s="32" t="str">
        <f>PAGE2!D9</f>
        <v>20/180°</v>
      </c>
      <c r="E7" s="32" t="s">
        <v>83</v>
      </c>
      <c r="F7" s="32" t="str">
        <f>PAGE2!F9</f>
        <v>20/180°</v>
      </c>
      <c r="G7" s="32" t="s">
        <v>83</v>
      </c>
      <c r="H7" s="32" t="str">
        <f>PAGE2!I9</f>
        <v>20/180°</v>
      </c>
    </row>
    <row r="8" spans="1:10" x14ac:dyDescent="0.25">
      <c r="A8" s="72" t="s">
        <v>84</v>
      </c>
      <c r="B8" s="71"/>
      <c r="C8" s="72" t="s">
        <v>85</v>
      </c>
      <c r="D8" s="71"/>
      <c r="E8" s="72" t="s">
        <v>86</v>
      </c>
      <c r="F8" s="71"/>
    </row>
    <row r="9" spans="1:10" x14ac:dyDescent="0.25">
      <c r="A9" t="s">
        <v>87</v>
      </c>
      <c r="B9">
        <f>SUM(GlobHor_DiffHor!D3:D6)</f>
        <v>28</v>
      </c>
      <c r="C9" t="s">
        <v>88</v>
      </c>
      <c r="D9">
        <v>1</v>
      </c>
      <c r="E9" t="s">
        <v>89</v>
      </c>
      <c r="F9">
        <v>1</v>
      </c>
    </row>
    <row r="10" spans="1:10" x14ac:dyDescent="0.25">
      <c r="A10" t="s">
        <v>90</v>
      </c>
      <c r="B10">
        <f>GlobHor_DiffHor!H3</f>
        <v>6.93</v>
      </c>
      <c r="C10" t="s">
        <v>91</v>
      </c>
      <c r="D10" s="35">
        <f>5</f>
        <v>5</v>
      </c>
      <c r="E10" t="s">
        <v>92</v>
      </c>
      <c r="F10" s="35">
        <f>51</f>
        <v>51</v>
      </c>
    </row>
    <row r="11" spans="1:10" x14ac:dyDescent="0.25">
      <c r="C11" t="s">
        <v>93</v>
      </c>
      <c r="D11" s="28">
        <f>B10/D10</f>
        <v>1.3859999999999999</v>
      </c>
      <c r="E11" t="s">
        <v>94</v>
      </c>
      <c r="F11" s="35">
        <f>F9*314</f>
        <v>314</v>
      </c>
    </row>
    <row r="12" spans="1:10" x14ac:dyDescent="0.25">
      <c r="A12" s="72" t="s">
        <v>95</v>
      </c>
      <c r="B12" s="71"/>
      <c r="C12" s="71"/>
      <c r="D12" s="71"/>
      <c r="E12" s="71"/>
      <c r="F12" s="71"/>
    </row>
    <row r="13" spans="1:10" x14ac:dyDescent="0.25">
      <c r="A13" t="s">
        <v>96</v>
      </c>
      <c r="B13" s="28">
        <f>GlobHor_DiffHor!O23</f>
        <v>8662.42117125</v>
      </c>
      <c r="J13" s="36"/>
    </row>
    <row r="14" spans="1:10" x14ac:dyDescent="0.25">
      <c r="A14" t="s">
        <v>97</v>
      </c>
      <c r="B14" s="28">
        <f>GlobHor_DiffHor!Q23</f>
        <v>9600</v>
      </c>
    </row>
    <row r="15" spans="1:10" x14ac:dyDescent="0.25">
      <c r="A15" t="s">
        <v>98</v>
      </c>
      <c r="B15" s="28">
        <f>B13/B10</f>
        <v>1249.988625</v>
      </c>
    </row>
    <row r="16" spans="1:10" x14ac:dyDescent="0.25">
      <c r="A16" t="s">
        <v>99</v>
      </c>
      <c r="B16" s="46">
        <f>GlobHor_DiffHor!T23*100</f>
        <v>81.451612903225808</v>
      </c>
    </row>
    <row r="17" spans="1:8" x14ac:dyDescent="0.25">
      <c r="A17" t="s">
        <v>100</v>
      </c>
      <c r="B17" s="28">
        <f>GlobHor_DiffHor!R23/GlobHor_DiffHor!Q23*100</f>
        <v>89.151411885937492</v>
      </c>
    </row>
    <row r="18" spans="1:8" x14ac:dyDescent="0.25">
      <c r="A18" s="38" t="s">
        <v>101</v>
      </c>
      <c r="H18" s="37"/>
    </row>
    <row r="19" spans="1:8" x14ac:dyDescent="0.25">
      <c r="A19" s="38" t="s">
        <v>102</v>
      </c>
      <c r="B19" s="38" t="s">
        <v>103</v>
      </c>
      <c r="C19" s="38"/>
    </row>
    <row r="20" spans="1:8" x14ac:dyDescent="0.25">
      <c r="A20" t="s">
        <v>44</v>
      </c>
      <c r="B20">
        <f>GlobHor_DiffHor!Q11</f>
        <v>768</v>
      </c>
      <c r="D20">
        <f>GlobHor_DiffHor!Q16</f>
        <v>912</v>
      </c>
      <c r="F20">
        <f>GlobHor_DiffHor!Q22</f>
        <v>816.00000000000011</v>
      </c>
    </row>
    <row r="21" spans="1:8" x14ac:dyDescent="0.25">
      <c r="A21" t="s">
        <v>105</v>
      </c>
      <c r="B21">
        <f>GlobHor_DiffHor!Q12</f>
        <v>720</v>
      </c>
      <c r="D21">
        <f>GlobHor_DiffHor!Q17</f>
        <v>864</v>
      </c>
      <c r="F21">
        <f>GlobHor_DiffHor!Q22</f>
        <v>816.00000000000011</v>
      </c>
    </row>
    <row r="22" spans="1:8" x14ac:dyDescent="0.25">
      <c r="A22" t="s">
        <v>108</v>
      </c>
      <c r="B22">
        <f>GlobHor_DiffHor!Q13</f>
        <v>768</v>
      </c>
      <c r="D22">
        <f>GlobHor_DiffHor!Q18</f>
        <v>816.00000000000011</v>
      </c>
      <c r="F22">
        <f>GlobHor_DiffHor!Q23</f>
        <v>9600</v>
      </c>
    </row>
    <row r="23" spans="1:8" x14ac:dyDescent="0.25">
      <c r="A23" t="s">
        <v>111</v>
      </c>
      <c r="B23">
        <f>GlobHor_DiffHor!Q14</f>
        <v>816.00000000000011</v>
      </c>
      <c r="D23">
        <f>GlobHor_DiffHor!Q19</f>
        <v>768</v>
      </c>
    </row>
    <row r="24" spans="1:8" x14ac:dyDescent="0.25">
      <c r="A24" t="s">
        <v>48</v>
      </c>
      <c r="B24">
        <f>GlobHor_DiffHor!Q15</f>
        <v>864</v>
      </c>
      <c r="D24">
        <f>GlobHor_DiffHor!Q20</f>
        <v>768</v>
      </c>
    </row>
    <row r="25" spans="1:8" x14ac:dyDescent="0.25">
      <c r="A25" s="38" t="s">
        <v>113</v>
      </c>
    </row>
    <row r="26" spans="1:8" x14ac:dyDescent="0.25">
      <c r="A26" t="s">
        <v>114</v>
      </c>
      <c r="C26" t="str">
        <f>'PAGE 3'!B14</f>
        <v>Astronergy</v>
      </c>
      <c r="D26" t="s">
        <v>114</v>
      </c>
      <c r="G26" t="str">
        <f>'PAGE 3'!D14</f>
        <v>Hoymiles</v>
      </c>
    </row>
    <row r="27" spans="1:8" x14ac:dyDescent="0.25">
      <c r="A27" t="s">
        <v>117</v>
      </c>
      <c r="C27" t="str">
        <f>'PAGE 3'!B15</f>
        <v>CHSMM66RN(DG)/F-BH-630</v>
      </c>
      <c r="D27" t="s">
        <v>117</v>
      </c>
      <c r="G27" t="str">
        <f>'PAGE 3'!D15</f>
        <v>HIS-5L-G3</v>
      </c>
    </row>
    <row r="28" spans="1:8" x14ac:dyDescent="0.25">
      <c r="A28" t="s">
        <v>119</v>
      </c>
      <c r="C28" t="str">
        <f>'PAGE 3'!B16</f>
        <v>CHSMM66RN(DG)/F-BH-630.PAN</v>
      </c>
      <c r="D28" t="s">
        <v>119</v>
      </c>
    </row>
    <row r="29" spans="1:8" x14ac:dyDescent="0.25">
      <c r="A29" t="s">
        <v>120</v>
      </c>
      <c r="C29" s="32">
        <f>'PAGE 3'!B17</f>
        <v>630</v>
      </c>
      <c r="D29" t="s">
        <v>120</v>
      </c>
      <c r="G29" s="49">
        <f>'PAGE 3'!D17</f>
        <v>5</v>
      </c>
    </row>
    <row r="30" spans="1:8" x14ac:dyDescent="0.25">
      <c r="A30" s="38" t="s">
        <v>121</v>
      </c>
    </row>
    <row r="31" spans="1:8" x14ac:dyDescent="0.25">
      <c r="A31" t="s">
        <v>3</v>
      </c>
      <c r="B31" s="32">
        <f>'PAGE 3'!B20</f>
        <v>1</v>
      </c>
      <c r="C31" t="s">
        <v>122</v>
      </c>
      <c r="D31" s="48">
        <f>ROUND(B34/(B10*1000)*100,0)</f>
        <v>64</v>
      </c>
      <c r="E31" s="49">
        <f>D31/100</f>
        <v>0.64</v>
      </c>
    </row>
    <row r="32" spans="1:8" x14ac:dyDescent="0.25">
      <c r="A32" t="s">
        <v>123</v>
      </c>
      <c r="B32" s="32" t="str">
        <f>'PAGE 3'!B21</f>
        <v>20/180°</v>
      </c>
      <c r="C32" t="s">
        <v>124</v>
      </c>
      <c r="D32" s="50">
        <f>'PAGE 3'!D23</f>
        <v>3.2</v>
      </c>
      <c r="E32" s="32"/>
    </row>
    <row r="33" spans="1:5" x14ac:dyDescent="0.25">
      <c r="A33" t="s">
        <v>125</v>
      </c>
      <c r="B33" s="32">
        <f>'PAGE 3'!B22</f>
        <v>7</v>
      </c>
    </row>
    <row r="34" spans="1:5" x14ac:dyDescent="0.25">
      <c r="A34" t="s">
        <v>126</v>
      </c>
      <c r="B34" s="32">
        <f>'PAGE 3'!B23</f>
        <v>4410</v>
      </c>
      <c r="C34" t="s">
        <v>127</v>
      </c>
      <c r="D34" s="35" t="str">
        <f>'PAGE 3'!D25</f>
        <v>90-550</v>
      </c>
    </row>
    <row r="35" spans="1:5" x14ac:dyDescent="0.25">
      <c r="A35" t="s">
        <v>129</v>
      </c>
      <c r="B35" s="32">
        <f>'PAGE 3'!B24</f>
        <v>7</v>
      </c>
      <c r="D35" s="31"/>
    </row>
    <row r="36" spans="1:5" x14ac:dyDescent="0.25">
      <c r="A36" s="38" t="s">
        <v>130</v>
      </c>
      <c r="B36" s="32"/>
      <c r="C36" t="s">
        <v>131</v>
      </c>
      <c r="D36" s="28">
        <f>'PAGE 3'!D26</f>
        <v>1.3859999999999999</v>
      </c>
    </row>
    <row r="37" spans="1:5" x14ac:dyDescent="0.25">
      <c r="A37" t="s">
        <v>132</v>
      </c>
      <c r="B37" s="32">
        <f>'PAGE 3'!B26</f>
        <v>4116</v>
      </c>
    </row>
    <row r="38" spans="1:5" x14ac:dyDescent="0.25">
      <c r="A38" t="s">
        <v>133</v>
      </c>
      <c r="B38" s="47">
        <f>'PAGE 3'!B27</f>
        <v>263.90000000000003</v>
      </c>
    </row>
    <row r="39" spans="1:5" x14ac:dyDescent="0.25">
      <c r="A39" t="s">
        <v>134</v>
      </c>
      <c r="B39" s="47">
        <f>'PAGE 3'!B28</f>
        <v>15.596816976127318</v>
      </c>
    </row>
    <row r="40" spans="1:5" x14ac:dyDescent="0.25">
      <c r="A40" s="38" t="s">
        <v>135</v>
      </c>
    </row>
    <row r="41" spans="1:5" x14ac:dyDescent="0.25">
      <c r="A41" t="s">
        <v>3</v>
      </c>
      <c r="B41" s="32">
        <f>'PAGE 3'!B30</f>
        <v>1</v>
      </c>
      <c r="C41" t="s">
        <v>122</v>
      </c>
      <c r="D41" s="48">
        <f>ROUND(B44/(B10*1000)*100,0)</f>
        <v>64</v>
      </c>
      <c r="E41" s="49">
        <f>D41/100</f>
        <v>0.64</v>
      </c>
    </row>
    <row r="42" spans="1:5" x14ac:dyDescent="0.25">
      <c r="A42" t="s">
        <v>123</v>
      </c>
      <c r="B42" s="32" t="str">
        <f>'PAGE 3'!B31</f>
        <v>20/180°</v>
      </c>
      <c r="C42" t="s">
        <v>124</v>
      </c>
      <c r="D42" s="50">
        <f>'PAGE 3'!D33</f>
        <v>3.2</v>
      </c>
      <c r="E42" s="32"/>
    </row>
    <row r="43" spans="1:5" x14ac:dyDescent="0.25">
      <c r="A43" t="s">
        <v>125</v>
      </c>
      <c r="B43" s="32">
        <f>'PAGE 3'!B32</f>
        <v>7</v>
      </c>
    </row>
    <row r="44" spans="1:5" x14ac:dyDescent="0.25">
      <c r="A44" t="s">
        <v>126</v>
      </c>
      <c r="B44" s="32">
        <f>'PAGE 3'!B33</f>
        <v>4410</v>
      </c>
      <c r="D44" s="35"/>
    </row>
    <row r="45" spans="1:5" x14ac:dyDescent="0.25">
      <c r="A45" t="s">
        <v>129</v>
      </c>
      <c r="B45" s="32">
        <f>'PAGE 3'!B34</f>
        <v>7</v>
      </c>
      <c r="D45" s="31"/>
    </row>
    <row r="46" spans="1:5" x14ac:dyDescent="0.25">
      <c r="A46" s="38" t="s">
        <v>130</v>
      </c>
      <c r="B46" s="32"/>
      <c r="C46" t="s">
        <v>131</v>
      </c>
      <c r="D46" s="28">
        <f>'PAGE 3'!D36</f>
        <v>1.3859999999999999</v>
      </c>
    </row>
    <row r="47" spans="1:5" x14ac:dyDescent="0.25">
      <c r="A47" t="s">
        <v>132</v>
      </c>
      <c r="B47" s="32">
        <f>'PAGE 3'!B36</f>
        <v>4116</v>
      </c>
    </row>
    <row r="48" spans="1:5" x14ac:dyDescent="0.25">
      <c r="A48" t="s">
        <v>133</v>
      </c>
      <c r="B48" s="47">
        <f>'PAGE 3'!B37</f>
        <v>263.90000000000003</v>
      </c>
    </row>
    <row r="49" spans="1:5" x14ac:dyDescent="0.25">
      <c r="A49" t="s">
        <v>134</v>
      </c>
      <c r="B49" s="47">
        <f>'PAGE 3'!B38</f>
        <v>15.596816976127318</v>
      </c>
    </row>
    <row r="50" spans="1:5" x14ac:dyDescent="0.25">
      <c r="A50" s="38" t="s">
        <v>136</v>
      </c>
    </row>
    <row r="51" spans="1:5" x14ac:dyDescent="0.25">
      <c r="A51" t="s">
        <v>3</v>
      </c>
      <c r="B51" s="32">
        <f>'PAGE 3'!B40</f>
        <v>1</v>
      </c>
      <c r="C51" t="s">
        <v>122</v>
      </c>
      <c r="D51" s="48">
        <f>ROUND(B54/(B10*1000)*100,0)</f>
        <v>64</v>
      </c>
      <c r="E51" s="49">
        <f>D51/100</f>
        <v>0.64</v>
      </c>
    </row>
    <row r="52" spans="1:5" x14ac:dyDescent="0.25">
      <c r="A52" t="s">
        <v>123</v>
      </c>
      <c r="B52" s="32" t="str">
        <f>'PAGE 3'!B51</f>
        <v>20/180°</v>
      </c>
      <c r="C52" t="s">
        <v>124</v>
      </c>
      <c r="D52" s="50">
        <f>'PAGE 3'!D53</f>
        <v>3.2</v>
      </c>
      <c r="E52" s="32"/>
    </row>
    <row r="53" spans="1:5" x14ac:dyDescent="0.25">
      <c r="A53" t="s">
        <v>125</v>
      </c>
      <c r="B53" s="32">
        <f>'PAGE 3'!B52</f>
        <v>7</v>
      </c>
    </row>
    <row r="54" spans="1:5" x14ac:dyDescent="0.25">
      <c r="A54" t="s">
        <v>126</v>
      </c>
      <c r="B54" s="32">
        <f>'PAGE 3'!B53</f>
        <v>4410</v>
      </c>
      <c r="C54" t="s">
        <v>127</v>
      </c>
      <c r="D54" s="35" t="str">
        <f>'PAGE 3'!D55</f>
        <v>90-550</v>
      </c>
    </row>
    <row r="55" spans="1:5" x14ac:dyDescent="0.25">
      <c r="A55" t="s">
        <v>129</v>
      </c>
      <c r="B55" s="32">
        <f>'PAGE 3'!B54</f>
        <v>7</v>
      </c>
      <c r="D55" s="31"/>
    </row>
    <row r="56" spans="1:5" x14ac:dyDescent="0.25">
      <c r="A56" s="38" t="s">
        <v>130</v>
      </c>
      <c r="B56" s="32"/>
      <c r="C56" t="s">
        <v>131</v>
      </c>
      <c r="D56" s="28">
        <f>'PAGE 3'!D56</f>
        <v>1.3859999999999999</v>
      </c>
    </row>
    <row r="57" spans="1:5" x14ac:dyDescent="0.25">
      <c r="A57" t="s">
        <v>132</v>
      </c>
      <c r="B57" s="32">
        <f>'PAGE 3'!B46</f>
        <v>4116</v>
      </c>
    </row>
    <row r="58" spans="1:5" x14ac:dyDescent="0.25">
      <c r="A58" t="s">
        <v>133</v>
      </c>
      <c r="B58" s="47">
        <f>'PAGE 3'!B47</f>
        <v>263.90000000000003</v>
      </c>
    </row>
    <row r="59" spans="1:5" x14ac:dyDescent="0.25">
      <c r="A59" t="s">
        <v>134</v>
      </c>
      <c r="B59" s="47">
        <f>'PAGE 3'!B48</f>
        <v>15.596816976127318</v>
      </c>
    </row>
    <row r="60" spans="1:5" x14ac:dyDescent="0.25">
      <c r="A60" s="38" t="s">
        <v>137</v>
      </c>
    </row>
    <row r="61" spans="1:5" x14ac:dyDescent="0.25">
      <c r="A61" t="s">
        <v>3</v>
      </c>
      <c r="B61">
        <f>'PAGE 3'!B50</f>
        <v>1</v>
      </c>
      <c r="C61" t="s">
        <v>122</v>
      </c>
      <c r="D61" s="48">
        <f>ROUND(B64/(B10*1000)*100,0)</f>
        <v>64</v>
      </c>
      <c r="E61" s="49">
        <f>D61/100</f>
        <v>0.64</v>
      </c>
    </row>
    <row r="62" spans="1:5" x14ac:dyDescent="0.25">
      <c r="A62" t="s">
        <v>123</v>
      </c>
      <c r="B62" t="str">
        <f>'PAGE 3'!B51</f>
        <v>20/180°</v>
      </c>
      <c r="C62" t="s">
        <v>124</v>
      </c>
      <c r="D62" s="50">
        <f>'PAGE 3'!D53</f>
        <v>3.2</v>
      </c>
      <c r="E62" s="32"/>
    </row>
    <row r="63" spans="1:5" x14ac:dyDescent="0.25">
      <c r="A63" t="s">
        <v>125</v>
      </c>
      <c r="B63">
        <f>'PAGE 3'!B52</f>
        <v>7</v>
      </c>
    </row>
    <row r="64" spans="1:5" x14ac:dyDescent="0.25">
      <c r="A64" t="s">
        <v>126</v>
      </c>
      <c r="B64">
        <f>'PAGE 3'!B53</f>
        <v>4410</v>
      </c>
      <c r="C64" t="s">
        <v>127</v>
      </c>
      <c r="D64" s="35" t="str">
        <f>'PAGE 3'!D55</f>
        <v>90-550</v>
      </c>
    </row>
    <row r="65" spans="1:4" x14ac:dyDescent="0.25">
      <c r="A65" t="s">
        <v>129</v>
      </c>
      <c r="B65">
        <f>'PAGE 3'!B54</f>
        <v>7</v>
      </c>
      <c r="D65" s="31"/>
    </row>
    <row r="66" spans="1:4" x14ac:dyDescent="0.25">
      <c r="A66" s="38" t="s">
        <v>130</v>
      </c>
      <c r="C66" t="s">
        <v>131</v>
      </c>
      <c r="D66" s="28">
        <f>'PAGE 3'!D56</f>
        <v>1.3859999999999999</v>
      </c>
    </row>
    <row r="67" spans="1:4" x14ac:dyDescent="0.25">
      <c r="A67" t="s">
        <v>132</v>
      </c>
      <c r="B67" s="32">
        <f>'PAGE 3'!B56</f>
        <v>4116</v>
      </c>
    </row>
    <row r="68" spans="1:4" x14ac:dyDescent="0.25">
      <c r="A68" t="s">
        <v>133</v>
      </c>
      <c r="B68" s="47">
        <f>'PAGE 3'!B57</f>
        <v>263.90000000000003</v>
      </c>
    </row>
    <row r="69" spans="1:4" x14ac:dyDescent="0.25">
      <c r="A69" t="s">
        <v>134</v>
      </c>
      <c r="B69" s="47">
        <f>'PAGE 3'!B58</f>
        <v>15.596816976127318</v>
      </c>
    </row>
    <row r="70" spans="1:4" x14ac:dyDescent="0.25">
      <c r="A70" s="38" t="s">
        <v>138</v>
      </c>
      <c r="C70" t="s">
        <v>139</v>
      </c>
    </row>
    <row r="71" spans="1:4" x14ac:dyDescent="0.25">
      <c r="A71" t="s">
        <v>126</v>
      </c>
      <c r="B71" s="31">
        <f>'PAGE 3'!B61</f>
        <v>6.93</v>
      </c>
      <c r="C71" t="s">
        <v>124</v>
      </c>
      <c r="D71">
        <f>'PAGE 3'!D61</f>
        <v>5</v>
      </c>
    </row>
    <row r="72" spans="1:4" x14ac:dyDescent="0.25">
      <c r="A72" t="s">
        <v>140</v>
      </c>
      <c r="B72">
        <f>'PAGE 3'!B62</f>
        <v>28</v>
      </c>
      <c r="C72" t="s">
        <v>141</v>
      </c>
      <c r="D72">
        <f>'PAGE 3'!D62</f>
        <v>1</v>
      </c>
    </row>
    <row r="73" spans="1:4" x14ac:dyDescent="0.25">
      <c r="C73" t="s">
        <v>142</v>
      </c>
      <c r="D73" s="28">
        <f>'PAGE 3'!D63</f>
        <v>1.3859999999999999</v>
      </c>
    </row>
    <row r="75" spans="1:4" x14ac:dyDescent="0.25">
      <c r="A75" s="38" t="s">
        <v>143</v>
      </c>
    </row>
    <row r="76" spans="1:4" x14ac:dyDescent="0.25">
      <c r="A76" s="38" t="s">
        <v>144</v>
      </c>
      <c r="C76" s="38" t="s">
        <v>145</v>
      </c>
    </row>
    <row r="77" spans="1:4" x14ac:dyDescent="0.25">
      <c r="A77" t="s">
        <v>146</v>
      </c>
      <c r="B77">
        <f>F9</f>
        <v>1</v>
      </c>
      <c r="C77" t="s">
        <v>147</v>
      </c>
      <c r="D77" s="28">
        <f>B78*157/1000</f>
        <v>8.0069999999999997</v>
      </c>
    </row>
    <row r="78" spans="1:4" x14ac:dyDescent="0.25">
      <c r="A78" t="s">
        <v>148</v>
      </c>
      <c r="B78">
        <f>F10</f>
        <v>51</v>
      </c>
      <c r="C78" s="38" t="s">
        <v>149</v>
      </c>
    </row>
    <row r="79" spans="1:4" x14ac:dyDescent="0.25">
      <c r="A79" t="s">
        <v>150</v>
      </c>
      <c r="B79">
        <f>F11</f>
        <v>314</v>
      </c>
      <c r="C79" t="s">
        <v>151</v>
      </c>
      <c r="D79" s="28" t="b">
        <f>'PAGE 4'!D5=51*314*0.5*0.95/1000</f>
        <v>1</v>
      </c>
    </row>
    <row r="80" spans="1:4" x14ac:dyDescent="0.25">
      <c r="A80" t="s">
        <v>152</v>
      </c>
      <c r="B80">
        <v>16.100000000000001</v>
      </c>
    </row>
    <row r="81" spans="1:4" x14ac:dyDescent="0.25">
      <c r="A81" t="s">
        <v>153</v>
      </c>
      <c r="B81">
        <v>12.1</v>
      </c>
    </row>
    <row r="83" spans="1:4" x14ac:dyDescent="0.25">
      <c r="A83" s="38" t="s">
        <v>154</v>
      </c>
    </row>
    <row r="84" spans="1:4" x14ac:dyDescent="0.25">
      <c r="A84" t="s">
        <v>155</v>
      </c>
      <c r="B84" s="28">
        <f>IFERROR((B34*B87+B44*B90+B54*D87+B64*D90)/(B34+B44+B54+B64),0)</f>
        <v>0.76190476190476186</v>
      </c>
    </row>
    <row r="85" spans="1:4" x14ac:dyDescent="0.25">
      <c r="A85" s="38" t="s">
        <v>156</v>
      </c>
      <c r="B85">
        <v>100</v>
      </c>
      <c r="C85" s="38" t="s">
        <v>157</v>
      </c>
      <c r="D85">
        <v>0</v>
      </c>
    </row>
    <row r="86" spans="1:4" x14ac:dyDescent="0.25">
      <c r="A86" t="s">
        <v>158</v>
      </c>
      <c r="B86" s="31">
        <f>0.0175*B85/6*1000</f>
        <v>291.66666666666669</v>
      </c>
      <c r="C86" t="s">
        <v>158</v>
      </c>
      <c r="D86" s="31">
        <f>0.0175*D85/6*1000</f>
        <v>0</v>
      </c>
    </row>
    <row r="87" spans="1:4" x14ac:dyDescent="0.25">
      <c r="A87" t="s">
        <v>155</v>
      </c>
      <c r="B87" s="28">
        <f>16^2*B86/1000/B34*100</f>
        <v>1.6931216931216932</v>
      </c>
      <c r="C87" t="s">
        <v>155</v>
      </c>
      <c r="D87" s="28">
        <f>IFERROR(16^2*D86/1000/B54*100,0)</f>
        <v>0</v>
      </c>
    </row>
    <row r="88" spans="1:4" x14ac:dyDescent="0.25">
      <c r="A88" s="38" t="s">
        <v>159</v>
      </c>
      <c r="B88">
        <v>80</v>
      </c>
      <c r="C88" s="38" t="s">
        <v>160</v>
      </c>
      <c r="D88">
        <v>0</v>
      </c>
    </row>
    <row r="89" spans="1:4" x14ac:dyDescent="0.25">
      <c r="A89" t="s">
        <v>158</v>
      </c>
      <c r="B89" s="31">
        <f>0.0175*B88/6*1000</f>
        <v>233.33333333333337</v>
      </c>
      <c r="C89" t="s">
        <v>158</v>
      </c>
      <c r="D89" s="31">
        <f>0.0175*D88/6*1000</f>
        <v>0</v>
      </c>
    </row>
    <row r="90" spans="1:4" x14ac:dyDescent="0.25">
      <c r="A90" t="s">
        <v>155</v>
      </c>
      <c r="B90" s="28">
        <f>16^2*B89/1000/B44*100</f>
        <v>1.3544973544973546</v>
      </c>
      <c r="C90" t="s">
        <v>155</v>
      </c>
      <c r="D90" s="28">
        <f>IFERROR(16^2*D89/1000/B64*100,0)</f>
        <v>0</v>
      </c>
    </row>
    <row r="91" spans="1:4" x14ac:dyDescent="0.25">
      <c r="A91" s="38" t="s">
        <v>161</v>
      </c>
      <c r="B91" t="s">
        <v>162</v>
      </c>
      <c r="C91" s="35" t="s">
        <v>163</v>
      </c>
    </row>
    <row r="92" spans="1:4" x14ac:dyDescent="0.25">
      <c r="A92" t="s">
        <v>164</v>
      </c>
      <c r="B92" s="7">
        <v>220</v>
      </c>
      <c r="C92">
        <v>400</v>
      </c>
    </row>
    <row r="93" spans="1:4" x14ac:dyDescent="0.25">
      <c r="A93" s="38" t="s">
        <v>165</v>
      </c>
    </row>
    <row r="94" spans="1:4" x14ac:dyDescent="0.25">
      <c r="A94" t="s">
        <v>166</v>
      </c>
      <c r="B94" s="40" t="s">
        <v>167</v>
      </c>
      <c r="C94" s="35" t="s">
        <v>168</v>
      </c>
    </row>
    <row r="95" spans="1:4" x14ac:dyDescent="0.25">
      <c r="A95" t="s">
        <v>169</v>
      </c>
      <c r="B95" s="7">
        <v>10</v>
      </c>
      <c r="C95">
        <v>20</v>
      </c>
    </row>
  </sheetData>
  <mergeCells count="7">
    <mergeCell ref="A4:B4"/>
    <mergeCell ref="A2:B2"/>
    <mergeCell ref="A12:F12"/>
    <mergeCell ref="A8:B8"/>
    <mergeCell ref="A3:B3"/>
    <mergeCell ref="E8:F8"/>
    <mergeCell ref="C8:D8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zoomScale="85" zoomScaleNormal="85" workbookViewId="0">
      <selection activeCell="O26" sqref="O26"/>
    </sheetView>
  </sheetViews>
  <sheetFormatPr defaultRowHeight="15" x14ac:dyDescent="0.25"/>
  <cols>
    <col min="1" max="1" width="15.140625" bestFit="1" customWidth="1"/>
    <col min="2" max="2" width="12.42578125" bestFit="1" customWidth="1"/>
    <col min="3" max="3" width="12.7109375" bestFit="1" customWidth="1"/>
    <col min="4" max="4" width="18.42578125" bestFit="1" customWidth="1"/>
    <col min="5" max="5" width="12.42578125" bestFit="1" customWidth="1"/>
    <col min="6" max="6" width="17.42578125" bestFit="1" customWidth="1"/>
    <col min="7" max="11" width="11.85546875" bestFit="1" customWidth="1"/>
    <col min="12" max="12" width="17.42578125" bestFit="1" customWidth="1"/>
    <col min="13" max="13" width="7.7109375" bestFit="1" customWidth="1"/>
    <col min="14" max="14" width="30.42578125" bestFit="1" customWidth="1"/>
    <col min="15" max="15" width="7.5703125" bestFit="1" customWidth="1"/>
    <col min="21" max="21" width="21.5703125" customWidth="1"/>
  </cols>
  <sheetData>
    <row r="1" spans="1:22" x14ac:dyDescent="0.25">
      <c r="N1" s="1" t="s">
        <v>0</v>
      </c>
      <c r="O1" s="1" t="s">
        <v>1</v>
      </c>
      <c r="P1" s="1" t="s">
        <v>2</v>
      </c>
    </row>
    <row r="2" spans="1:22" x14ac:dyDescent="0.25">
      <c r="C2" s="1" t="s">
        <v>3</v>
      </c>
      <c r="D2" s="6" t="s">
        <v>4</v>
      </c>
      <c r="E2" s="1" t="s">
        <v>5</v>
      </c>
      <c r="G2" s="8" t="s">
        <v>0</v>
      </c>
      <c r="H2" s="8" t="s">
        <v>1</v>
      </c>
      <c r="I2" s="8" t="s">
        <v>2</v>
      </c>
      <c r="N2" t="s">
        <v>6</v>
      </c>
      <c r="O2" s="28">
        <f>O23</f>
        <v>8662.42117125</v>
      </c>
      <c r="P2" t="s">
        <v>7</v>
      </c>
    </row>
    <row r="3" spans="1:22" x14ac:dyDescent="0.25">
      <c r="C3" t="s">
        <v>8</v>
      </c>
      <c r="D3" s="7">
        <f>'PAGE 3'!B22</f>
        <v>7</v>
      </c>
      <c r="E3">
        <v>0.97</v>
      </c>
      <c r="G3" t="s">
        <v>9</v>
      </c>
      <c r="H3" s="7">
        <f>PAGE2!B14</f>
        <v>6.93</v>
      </c>
      <c r="I3" s="7" t="s">
        <v>10</v>
      </c>
      <c r="N3" t="s">
        <v>11</v>
      </c>
      <c r="O3" s="29">
        <f>'PAGE 7'!B2/100</f>
        <v>3.7999999999999999E-2</v>
      </c>
      <c r="P3" t="s">
        <v>12</v>
      </c>
      <c r="R3" t="s">
        <v>13</v>
      </c>
      <c r="U3">
        <v>0.01</v>
      </c>
      <c r="V3" t="s">
        <v>12</v>
      </c>
    </row>
    <row r="4" spans="1:22" x14ac:dyDescent="0.25">
      <c r="C4" t="s">
        <v>14</v>
      </c>
      <c r="D4" s="7">
        <f>'PAGE 3'!B32</f>
        <v>7</v>
      </c>
      <c r="E4">
        <v>0.95</v>
      </c>
      <c r="N4" t="s">
        <v>15</v>
      </c>
      <c r="O4" s="30">
        <v>0.01</v>
      </c>
      <c r="P4" t="s">
        <v>12</v>
      </c>
      <c r="R4" t="s">
        <v>16</v>
      </c>
      <c r="U4">
        <v>0.01</v>
      </c>
      <c r="V4" t="s">
        <v>12</v>
      </c>
    </row>
    <row r="5" spans="1:22" x14ac:dyDescent="0.25">
      <c r="C5" t="s">
        <v>17</v>
      </c>
      <c r="D5" s="7">
        <f>'PAGE 3'!B42</f>
        <v>7</v>
      </c>
      <c r="E5">
        <v>0.97</v>
      </c>
      <c r="G5" t="s">
        <v>18</v>
      </c>
      <c r="H5">
        <v>0.05</v>
      </c>
      <c r="I5" t="s">
        <v>12</v>
      </c>
      <c r="N5" t="s">
        <v>19</v>
      </c>
      <c r="O5" s="30">
        <v>5.0000000000000001E-3</v>
      </c>
      <c r="P5" t="s">
        <v>12</v>
      </c>
      <c r="R5" t="s">
        <v>20</v>
      </c>
      <c r="U5">
        <f>O3</f>
        <v>3.7999999999999999E-2</v>
      </c>
      <c r="V5" t="s">
        <v>12</v>
      </c>
    </row>
    <row r="6" spans="1:22" x14ac:dyDescent="0.25">
      <c r="C6" t="s">
        <v>21</v>
      </c>
      <c r="D6" s="7">
        <f>'PAGE 3'!B52</f>
        <v>7</v>
      </c>
      <c r="E6">
        <v>0.97</v>
      </c>
      <c r="G6" t="s">
        <v>22</v>
      </c>
      <c r="H6" s="7">
        <f>'PAGE 1'!B6</f>
        <v>9600</v>
      </c>
      <c r="I6" t="s">
        <v>7</v>
      </c>
      <c r="N6" t="s">
        <v>13</v>
      </c>
      <c r="O6" s="30">
        <v>0.01</v>
      </c>
      <c r="P6" t="s">
        <v>12</v>
      </c>
    </row>
    <row r="7" spans="1:22" x14ac:dyDescent="0.25">
      <c r="N7" s="32" t="s">
        <v>16</v>
      </c>
      <c r="O7" s="30">
        <v>0.01</v>
      </c>
      <c r="P7" t="s">
        <v>12</v>
      </c>
    </row>
    <row r="8" spans="1:22" x14ac:dyDescent="0.25">
      <c r="N8" s="33" t="s">
        <v>20</v>
      </c>
      <c r="O8" s="30">
        <f>O3</f>
        <v>3.7999999999999999E-2</v>
      </c>
      <c r="P8" t="s">
        <v>12</v>
      </c>
    </row>
    <row r="9" spans="1:22" x14ac:dyDescent="0.25">
      <c r="A9" s="23" t="s">
        <v>23</v>
      </c>
      <c r="B9" s="23" t="s">
        <v>24</v>
      </c>
      <c r="C9" s="23" t="s">
        <v>25</v>
      </c>
      <c r="D9" s="14" t="s">
        <v>24</v>
      </c>
      <c r="E9" s="23" t="s">
        <v>26</v>
      </c>
      <c r="F9" s="14" t="s">
        <v>27</v>
      </c>
      <c r="G9" s="14" t="s">
        <v>28</v>
      </c>
      <c r="H9" s="24" t="s">
        <v>29</v>
      </c>
      <c r="I9" s="24" t="s">
        <v>30</v>
      </c>
      <c r="J9" s="24" t="s">
        <v>31</v>
      </c>
      <c r="K9" s="24" t="s">
        <v>32</v>
      </c>
      <c r="L9" s="15" t="s">
        <v>33</v>
      </c>
      <c r="M9" s="21" t="s">
        <v>34</v>
      </c>
      <c r="N9" s="18" t="s">
        <v>35</v>
      </c>
      <c r="O9" s="21" t="s">
        <v>36</v>
      </c>
      <c r="P9" s="25" t="s">
        <v>37</v>
      </c>
      <c r="Q9" s="22" t="s">
        <v>38</v>
      </c>
      <c r="R9" s="22" t="s">
        <v>39</v>
      </c>
      <c r="S9" s="21" t="s">
        <v>40</v>
      </c>
      <c r="T9" s="26" t="s">
        <v>41</v>
      </c>
      <c r="U9" s="27" t="s">
        <v>42</v>
      </c>
    </row>
    <row r="10" spans="1:22" x14ac:dyDescent="0.25">
      <c r="A10" s="1" t="s">
        <v>43</v>
      </c>
      <c r="B10" s="6">
        <f>'PAGE 1'!B5</f>
        <v>1800</v>
      </c>
      <c r="C10" s="1"/>
      <c r="D10" s="9"/>
      <c r="E10" s="1"/>
      <c r="F10" s="9"/>
      <c r="G10" s="10"/>
      <c r="L10" s="10"/>
      <c r="M10" s="10"/>
      <c r="O10" s="10"/>
      <c r="Q10" s="16"/>
      <c r="R10" s="16"/>
      <c r="S10" s="10"/>
      <c r="T10" s="10"/>
      <c r="U10" s="19"/>
    </row>
    <row r="11" spans="1:22" x14ac:dyDescent="0.25">
      <c r="A11" t="s">
        <v>44</v>
      </c>
      <c r="C11">
        <v>0.08</v>
      </c>
      <c r="D11" s="10">
        <f t="shared" ref="D11:D22" si="0">$B$10*C11</f>
        <v>144</v>
      </c>
      <c r="E11">
        <v>0.55000000000000004</v>
      </c>
      <c r="F11" s="11">
        <f t="shared" ref="F11:F22" si="1">D11*E11</f>
        <v>79.2</v>
      </c>
      <c r="G11" s="10">
        <v>27.5</v>
      </c>
      <c r="H11">
        <f t="shared" ref="H11:H23" si="2">D11*$E$3</f>
        <v>139.68</v>
      </c>
      <c r="I11">
        <f t="shared" ref="I11:I23" si="3">D11*$E$4</f>
        <v>136.79999999999998</v>
      </c>
      <c r="J11">
        <f t="shared" ref="J11:J23" si="4">D11*$E$5</f>
        <v>139.68</v>
      </c>
      <c r="K11">
        <f t="shared" ref="K11:K23" si="5">D11*$E$6</f>
        <v>139.68</v>
      </c>
      <c r="L11" s="11">
        <f t="shared" ref="L11:L23" si="6">((H11*$D$3)+(I11*$D$4)+(J11*$D$5)+(K11*$D$6))/SUM($D$3:$D$6)</f>
        <v>138.96</v>
      </c>
      <c r="M11" s="11">
        <f t="shared" ref="M11:M22" si="7">L11*(1-$H$5)</f>
        <v>132.012</v>
      </c>
      <c r="N11">
        <v>0.82</v>
      </c>
      <c r="O11" s="11">
        <f>M11*$H$3*$N$11</f>
        <v>750.17139120000002</v>
      </c>
      <c r="P11">
        <v>0.08</v>
      </c>
      <c r="Q11" s="17">
        <f t="shared" ref="Q11:Q22" si="8">$H$6*P11</f>
        <v>768</v>
      </c>
      <c r="R11" s="17">
        <f t="shared" ref="R11:R22" si="9">MIN(O11,Q11)</f>
        <v>750.17139120000002</v>
      </c>
      <c r="S11" s="12">
        <f t="shared" ref="S11:S22" si="10">MAX(O11-R11,0)</f>
        <v>0</v>
      </c>
      <c r="T11" s="13">
        <f t="shared" ref="T11:T22" si="11">O11/(M11*$H$3)</f>
        <v>0.82000000000000006</v>
      </c>
      <c r="U11" s="20">
        <f t="shared" ref="U11:U22" si="12">MAX(Q11-R11,0)</f>
        <v>17.828608799999984</v>
      </c>
    </row>
    <row r="12" spans="1:22" x14ac:dyDescent="0.25">
      <c r="A12" t="s">
        <v>45</v>
      </c>
      <c r="C12">
        <v>7.0000000000000007E-2</v>
      </c>
      <c r="D12" s="10">
        <f t="shared" si="0"/>
        <v>126.00000000000001</v>
      </c>
      <c r="E12">
        <v>0.52</v>
      </c>
      <c r="F12" s="11">
        <f t="shared" si="1"/>
        <v>65.52000000000001</v>
      </c>
      <c r="G12" s="10">
        <v>27.8</v>
      </c>
      <c r="H12">
        <f t="shared" si="2"/>
        <v>122.22000000000001</v>
      </c>
      <c r="I12">
        <f t="shared" si="3"/>
        <v>119.7</v>
      </c>
      <c r="J12">
        <f t="shared" si="4"/>
        <v>122.22000000000001</v>
      </c>
      <c r="K12">
        <f t="shared" si="5"/>
        <v>122.22000000000001</v>
      </c>
      <c r="L12" s="11">
        <f t="shared" si="6"/>
        <v>121.59</v>
      </c>
      <c r="M12" s="11">
        <f t="shared" si="7"/>
        <v>115.51049999999999</v>
      </c>
      <c r="N12">
        <v>0.81</v>
      </c>
      <c r="O12" s="11">
        <f>M12*$H$3*$N$12</f>
        <v>648.39508965000005</v>
      </c>
      <c r="P12">
        <v>7.4999999999999997E-2</v>
      </c>
      <c r="Q12" s="17">
        <f t="shared" si="8"/>
        <v>720</v>
      </c>
      <c r="R12" s="17">
        <f t="shared" si="9"/>
        <v>648.39508965000005</v>
      </c>
      <c r="S12" s="12">
        <f t="shared" si="10"/>
        <v>0</v>
      </c>
      <c r="T12" s="13">
        <f t="shared" si="11"/>
        <v>0.81</v>
      </c>
      <c r="U12" s="20">
        <f t="shared" si="12"/>
        <v>71.604910349999955</v>
      </c>
    </row>
    <row r="13" spans="1:22" x14ac:dyDescent="0.25">
      <c r="A13" t="s">
        <v>46</v>
      </c>
      <c r="C13">
        <v>0.06</v>
      </c>
      <c r="D13" s="10">
        <f t="shared" si="0"/>
        <v>108</v>
      </c>
      <c r="E13">
        <v>0.48</v>
      </c>
      <c r="F13" s="11">
        <f t="shared" si="1"/>
        <v>51.839999999999996</v>
      </c>
      <c r="G13" s="10">
        <v>28.2</v>
      </c>
      <c r="H13">
        <f t="shared" si="2"/>
        <v>104.75999999999999</v>
      </c>
      <c r="I13">
        <f t="shared" si="3"/>
        <v>102.6</v>
      </c>
      <c r="J13">
        <f t="shared" si="4"/>
        <v>104.75999999999999</v>
      </c>
      <c r="K13">
        <f t="shared" si="5"/>
        <v>104.75999999999999</v>
      </c>
      <c r="L13" s="11">
        <f t="shared" si="6"/>
        <v>104.22</v>
      </c>
      <c r="M13" s="11">
        <f t="shared" si="7"/>
        <v>99.009</v>
      </c>
      <c r="N13">
        <v>0.78</v>
      </c>
      <c r="O13" s="11">
        <f>M13*$H$3*$N$13</f>
        <v>535.18324859999996</v>
      </c>
      <c r="P13">
        <v>0.08</v>
      </c>
      <c r="Q13" s="17">
        <f t="shared" si="8"/>
        <v>768</v>
      </c>
      <c r="R13" s="17">
        <f t="shared" si="9"/>
        <v>535.18324859999996</v>
      </c>
      <c r="S13" s="12">
        <f t="shared" si="10"/>
        <v>0</v>
      </c>
      <c r="T13" s="13">
        <f t="shared" si="11"/>
        <v>0.78</v>
      </c>
      <c r="U13" s="20">
        <f t="shared" si="12"/>
        <v>232.81675140000004</v>
      </c>
    </row>
    <row r="14" spans="1:22" x14ac:dyDescent="0.25">
      <c r="A14" t="s">
        <v>47</v>
      </c>
      <c r="C14">
        <v>0.09</v>
      </c>
      <c r="D14" s="10">
        <f t="shared" si="0"/>
        <v>162</v>
      </c>
      <c r="E14">
        <v>0.5</v>
      </c>
      <c r="F14" s="11">
        <f t="shared" si="1"/>
        <v>81</v>
      </c>
      <c r="G14" s="10">
        <v>28.5</v>
      </c>
      <c r="H14">
        <f t="shared" si="2"/>
        <v>157.13999999999999</v>
      </c>
      <c r="I14">
        <f t="shared" si="3"/>
        <v>153.9</v>
      </c>
      <c r="J14">
        <f t="shared" si="4"/>
        <v>157.13999999999999</v>
      </c>
      <c r="K14">
        <f t="shared" si="5"/>
        <v>157.13999999999999</v>
      </c>
      <c r="L14" s="11">
        <f t="shared" si="6"/>
        <v>156.32999999999998</v>
      </c>
      <c r="M14" s="11">
        <f t="shared" si="7"/>
        <v>148.51349999999996</v>
      </c>
      <c r="N14">
        <v>0.82</v>
      </c>
      <c r="O14" s="11">
        <f>M14*$H$3*$N$14</f>
        <v>843.94281509999973</v>
      </c>
      <c r="P14">
        <v>8.5000000000000006E-2</v>
      </c>
      <c r="Q14" s="17">
        <f t="shared" si="8"/>
        <v>816.00000000000011</v>
      </c>
      <c r="R14" s="17">
        <f t="shared" si="9"/>
        <v>816.00000000000011</v>
      </c>
      <c r="S14" s="12">
        <f t="shared" si="10"/>
        <v>27.942815099999621</v>
      </c>
      <c r="T14" s="13">
        <f t="shared" si="11"/>
        <v>0.82</v>
      </c>
      <c r="U14" s="20">
        <f t="shared" si="12"/>
        <v>0</v>
      </c>
    </row>
    <row r="15" spans="1:22" x14ac:dyDescent="0.25">
      <c r="A15" t="s">
        <v>48</v>
      </c>
      <c r="C15">
        <v>0.08</v>
      </c>
      <c r="D15" s="10">
        <f t="shared" si="0"/>
        <v>144</v>
      </c>
      <c r="E15">
        <v>0.53</v>
      </c>
      <c r="F15" s="11">
        <f t="shared" si="1"/>
        <v>76.320000000000007</v>
      </c>
      <c r="G15" s="10">
        <v>28.8</v>
      </c>
      <c r="H15">
        <f t="shared" si="2"/>
        <v>139.68</v>
      </c>
      <c r="I15">
        <f t="shared" si="3"/>
        <v>136.79999999999998</v>
      </c>
      <c r="J15">
        <f t="shared" si="4"/>
        <v>139.68</v>
      </c>
      <c r="K15">
        <f t="shared" si="5"/>
        <v>139.68</v>
      </c>
      <c r="L15" s="11">
        <f t="shared" si="6"/>
        <v>138.96</v>
      </c>
      <c r="M15" s="11">
        <f t="shared" si="7"/>
        <v>132.012</v>
      </c>
      <c r="N15">
        <v>0.83</v>
      </c>
      <c r="O15" s="11">
        <f>M15*$H$3*$N$15</f>
        <v>759.3198228</v>
      </c>
      <c r="P15">
        <v>0.09</v>
      </c>
      <c r="Q15" s="17">
        <f t="shared" si="8"/>
        <v>864</v>
      </c>
      <c r="R15" s="17">
        <f t="shared" si="9"/>
        <v>759.3198228</v>
      </c>
      <c r="S15" s="12">
        <f t="shared" si="10"/>
        <v>0</v>
      </c>
      <c r="T15" s="13">
        <f t="shared" si="11"/>
        <v>0.83</v>
      </c>
      <c r="U15" s="20">
        <f t="shared" si="12"/>
        <v>104.6801772</v>
      </c>
    </row>
    <row r="16" spans="1:22" x14ac:dyDescent="0.25">
      <c r="A16" t="s">
        <v>49</v>
      </c>
      <c r="C16">
        <v>0.09</v>
      </c>
      <c r="D16" s="10">
        <f t="shared" si="0"/>
        <v>162</v>
      </c>
      <c r="E16">
        <v>0.49</v>
      </c>
      <c r="F16" s="11">
        <f t="shared" si="1"/>
        <v>79.38</v>
      </c>
      <c r="G16" s="10">
        <v>28.9</v>
      </c>
      <c r="H16">
        <f t="shared" si="2"/>
        <v>157.13999999999999</v>
      </c>
      <c r="I16">
        <f t="shared" si="3"/>
        <v>153.9</v>
      </c>
      <c r="J16">
        <f t="shared" si="4"/>
        <v>157.13999999999999</v>
      </c>
      <c r="K16">
        <f t="shared" si="5"/>
        <v>157.13999999999999</v>
      </c>
      <c r="L16" s="11">
        <f t="shared" si="6"/>
        <v>156.32999999999998</v>
      </c>
      <c r="M16" s="11">
        <f t="shared" si="7"/>
        <v>148.51349999999996</v>
      </c>
      <c r="N16">
        <v>0.82</v>
      </c>
      <c r="O16" s="11">
        <f>M16*$H$3*$N$16</f>
        <v>843.94281509999973</v>
      </c>
      <c r="P16">
        <v>9.5000000000000001E-2</v>
      </c>
      <c r="Q16" s="17">
        <f t="shared" si="8"/>
        <v>912</v>
      </c>
      <c r="R16" s="17">
        <f t="shared" si="9"/>
        <v>843.94281509999973</v>
      </c>
      <c r="S16" s="12">
        <f t="shared" si="10"/>
        <v>0</v>
      </c>
      <c r="T16" s="13">
        <f t="shared" si="11"/>
        <v>0.82</v>
      </c>
      <c r="U16" s="20">
        <f t="shared" si="12"/>
        <v>68.057184900000266</v>
      </c>
    </row>
    <row r="17" spans="1:21" x14ac:dyDescent="0.25">
      <c r="A17" t="s">
        <v>50</v>
      </c>
      <c r="C17">
        <v>0.08</v>
      </c>
      <c r="D17" s="10">
        <f t="shared" si="0"/>
        <v>144</v>
      </c>
      <c r="E17">
        <v>0.45</v>
      </c>
      <c r="F17" s="11">
        <f t="shared" si="1"/>
        <v>64.8</v>
      </c>
      <c r="G17" s="10">
        <v>28.7</v>
      </c>
      <c r="H17">
        <f t="shared" si="2"/>
        <v>139.68</v>
      </c>
      <c r="I17">
        <f t="shared" si="3"/>
        <v>136.79999999999998</v>
      </c>
      <c r="J17">
        <f t="shared" si="4"/>
        <v>139.68</v>
      </c>
      <c r="K17">
        <f t="shared" si="5"/>
        <v>139.68</v>
      </c>
      <c r="L17" s="11">
        <f t="shared" si="6"/>
        <v>138.96</v>
      </c>
      <c r="M17" s="11">
        <f t="shared" si="7"/>
        <v>132.012</v>
      </c>
      <c r="N17">
        <v>0.81</v>
      </c>
      <c r="O17" s="11">
        <f>M17*$H$3*$N$17</f>
        <v>741.02295960000004</v>
      </c>
      <c r="P17">
        <v>0.09</v>
      </c>
      <c r="Q17" s="17">
        <f t="shared" si="8"/>
        <v>864</v>
      </c>
      <c r="R17" s="17">
        <f t="shared" si="9"/>
        <v>741.02295960000004</v>
      </c>
      <c r="S17" s="12">
        <f t="shared" si="10"/>
        <v>0</v>
      </c>
      <c r="T17" s="13">
        <f t="shared" si="11"/>
        <v>0.81</v>
      </c>
      <c r="U17" s="20">
        <f t="shared" si="12"/>
        <v>122.97704039999996</v>
      </c>
    </row>
    <row r="18" spans="1:21" x14ac:dyDescent="0.25">
      <c r="A18" t="s">
        <v>51</v>
      </c>
      <c r="C18">
        <v>0.08</v>
      </c>
      <c r="D18" s="10">
        <f t="shared" si="0"/>
        <v>144</v>
      </c>
      <c r="E18">
        <v>0.46</v>
      </c>
      <c r="F18" s="11">
        <f t="shared" si="1"/>
        <v>66.240000000000009</v>
      </c>
      <c r="G18" s="10">
        <v>28.6</v>
      </c>
      <c r="H18">
        <f t="shared" si="2"/>
        <v>139.68</v>
      </c>
      <c r="I18">
        <f t="shared" si="3"/>
        <v>136.79999999999998</v>
      </c>
      <c r="J18">
        <f t="shared" si="4"/>
        <v>139.68</v>
      </c>
      <c r="K18">
        <f t="shared" si="5"/>
        <v>139.68</v>
      </c>
      <c r="L18" s="11">
        <f t="shared" si="6"/>
        <v>138.96</v>
      </c>
      <c r="M18" s="11">
        <f t="shared" si="7"/>
        <v>132.012</v>
      </c>
      <c r="N18">
        <v>0.79</v>
      </c>
      <c r="O18" s="11">
        <f>M18*$H$3*$N$18</f>
        <v>722.72609640000007</v>
      </c>
      <c r="P18">
        <v>8.5000000000000006E-2</v>
      </c>
      <c r="Q18" s="17">
        <f t="shared" si="8"/>
        <v>816.00000000000011</v>
      </c>
      <c r="R18" s="17">
        <f t="shared" si="9"/>
        <v>722.72609640000007</v>
      </c>
      <c r="S18" s="12">
        <f t="shared" si="10"/>
        <v>0</v>
      </c>
      <c r="T18" s="13">
        <f t="shared" si="11"/>
        <v>0.79</v>
      </c>
      <c r="U18" s="20">
        <f t="shared" si="12"/>
        <v>93.27390360000004</v>
      </c>
    </row>
    <row r="19" spans="1:21" x14ac:dyDescent="0.25">
      <c r="A19" t="s">
        <v>52</v>
      </c>
      <c r="C19">
        <v>0.09</v>
      </c>
      <c r="D19" s="10">
        <f t="shared" si="0"/>
        <v>162</v>
      </c>
      <c r="E19">
        <v>0.5</v>
      </c>
      <c r="F19" s="11">
        <f t="shared" si="1"/>
        <v>81</v>
      </c>
      <c r="G19" s="10">
        <v>28.3</v>
      </c>
      <c r="H19">
        <f t="shared" si="2"/>
        <v>157.13999999999999</v>
      </c>
      <c r="I19">
        <f t="shared" si="3"/>
        <v>153.9</v>
      </c>
      <c r="J19">
        <f t="shared" si="4"/>
        <v>157.13999999999999</v>
      </c>
      <c r="K19">
        <f t="shared" si="5"/>
        <v>157.13999999999999</v>
      </c>
      <c r="L19" s="11">
        <f t="shared" si="6"/>
        <v>156.32999999999998</v>
      </c>
      <c r="M19" s="11">
        <f t="shared" si="7"/>
        <v>148.51349999999996</v>
      </c>
      <c r="N19">
        <v>0.82</v>
      </c>
      <c r="O19" s="11">
        <f>M19*$H$3*$N$19</f>
        <v>843.94281509999973</v>
      </c>
      <c r="P19">
        <v>0.08</v>
      </c>
      <c r="Q19" s="17">
        <f t="shared" si="8"/>
        <v>768</v>
      </c>
      <c r="R19" s="17">
        <f t="shared" si="9"/>
        <v>768</v>
      </c>
      <c r="S19" s="12">
        <f t="shared" si="10"/>
        <v>75.942815099999734</v>
      </c>
      <c r="T19" s="13">
        <f t="shared" si="11"/>
        <v>0.82</v>
      </c>
      <c r="U19" s="20">
        <f t="shared" si="12"/>
        <v>0</v>
      </c>
    </row>
    <row r="20" spans="1:21" x14ac:dyDescent="0.25">
      <c r="A20" t="s">
        <v>53</v>
      </c>
      <c r="C20">
        <v>0.08</v>
      </c>
      <c r="D20" s="10">
        <f t="shared" si="0"/>
        <v>144</v>
      </c>
      <c r="E20">
        <v>0.55000000000000004</v>
      </c>
      <c r="F20" s="11">
        <f t="shared" si="1"/>
        <v>79.2</v>
      </c>
      <c r="G20" s="10">
        <v>28</v>
      </c>
      <c r="H20">
        <f t="shared" si="2"/>
        <v>139.68</v>
      </c>
      <c r="I20">
        <f t="shared" si="3"/>
        <v>136.79999999999998</v>
      </c>
      <c r="J20">
        <f t="shared" si="4"/>
        <v>139.68</v>
      </c>
      <c r="K20">
        <f t="shared" si="5"/>
        <v>139.68</v>
      </c>
      <c r="L20" s="11">
        <f t="shared" si="6"/>
        <v>138.96</v>
      </c>
      <c r="M20" s="11">
        <f t="shared" si="7"/>
        <v>132.012</v>
      </c>
      <c r="N20">
        <v>0.83</v>
      </c>
      <c r="O20" s="11">
        <f>M20*$H$3*$N$20</f>
        <v>759.3198228</v>
      </c>
      <c r="P20">
        <v>0.08</v>
      </c>
      <c r="Q20" s="17">
        <f t="shared" si="8"/>
        <v>768</v>
      </c>
      <c r="R20" s="17">
        <f t="shared" si="9"/>
        <v>759.3198228</v>
      </c>
      <c r="S20" s="12">
        <f t="shared" si="10"/>
        <v>0</v>
      </c>
      <c r="T20" s="13">
        <f t="shared" si="11"/>
        <v>0.83</v>
      </c>
      <c r="U20" s="20">
        <f t="shared" si="12"/>
        <v>8.6801772000000028</v>
      </c>
    </row>
    <row r="21" spans="1:21" x14ac:dyDescent="0.25">
      <c r="A21" t="s">
        <v>54</v>
      </c>
      <c r="C21">
        <v>0.06</v>
      </c>
      <c r="D21" s="10">
        <f t="shared" si="0"/>
        <v>108</v>
      </c>
      <c r="E21">
        <v>0.62</v>
      </c>
      <c r="F21" s="11">
        <f t="shared" si="1"/>
        <v>66.959999999999994</v>
      </c>
      <c r="G21" s="10">
        <v>27.7</v>
      </c>
      <c r="H21">
        <f t="shared" si="2"/>
        <v>104.75999999999999</v>
      </c>
      <c r="I21">
        <f t="shared" si="3"/>
        <v>102.6</v>
      </c>
      <c r="J21">
        <f t="shared" si="4"/>
        <v>104.75999999999999</v>
      </c>
      <c r="K21">
        <f t="shared" si="5"/>
        <v>104.75999999999999</v>
      </c>
      <c r="L21" s="11">
        <f t="shared" si="6"/>
        <v>104.22</v>
      </c>
      <c r="M21" s="11">
        <f t="shared" si="7"/>
        <v>99.009</v>
      </c>
      <c r="N21">
        <v>0.79</v>
      </c>
      <c r="O21" s="11">
        <f>M21*$H$3*$N$21</f>
        <v>542.04457229999991</v>
      </c>
      <c r="P21">
        <v>7.4999999999999997E-2</v>
      </c>
      <c r="Q21" s="17">
        <f t="shared" si="8"/>
        <v>720</v>
      </c>
      <c r="R21" s="17">
        <f t="shared" si="9"/>
        <v>542.04457229999991</v>
      </c>
      <c r="S21" s="12">
        <f t="shared" si="10"/>
        <v>0</v>
      </c>
      <c r="T21" s="13">
        <f t="shared" si="11"/>
        <v>0.78999999999999992</v>
      </c>
      <c r="U21" s="20">
        <f t="shared" si="12"/>
        <v>177.95542770000009</v>
      </c>
    </row>
    <row r="22" spans="1:21" x14ac:dyDescent="0.25">
      <c r="A22" t="s">
        <v>55</v>
      </c>
      <c r="C22">
        <v>7.0000000000000007E-2</v>
      </c>
      <c r="D22" s="10">
        <f t="shared" si="0"/>
        <v>126.00000000000001</v>
      </c>
      <c r="E22">
        <v>0.6</v>
      </c>
      <c r="F22" s="11">
        <f t="shared" si="1"/>
        <v>75.600000000000009</v>
      </c>
      <c r="G22" s="10">
        <v>27.5</v>
      </c>
      <c r="H22">
        <f t="shared" si="2"/>
        <v>122.22000000000001</v>
      </c>
      <c r="I22">
        <f t="shared" si="3"/>
        <v>119.7</v>
      </c>
      <c r="J22">
        <f t="shared" si="4"/>
        <v>122.22000000000001</v>
      </c>
      <c r="K22">
        <f t="shared" si="5"/>
        <v>122.22000000000001</v>
      </c>
      <c r="L22" s="11">
        <f t="shared" si="6"/>
        <v>121.59</v>
      </c>
      <c r="M22" s="11">
        <f t="shared" si="7"/>
        <v>115.51049999999999</v>
      </c>
      <c r="N22">
        <v>0.84</v>
      </c>
      <c r="O22" s="11">
        <f>M22*$H$3*$N$22</f>
        <v>672.4097225999999</v>
      </c>
      <c r="P22">
        <v>8.5000000000000006E-2</v>
      </c>
      <c r="Q22" s="17">
        <f t="shared" si="8"/>
        <v>816.00000000000011</v>
      </c>
      <c r="R22" s="17">
        <f t="shared" si="9"/>
        <v>672.4097225999999</v>
      </c>
      <c r="S22" s="12">
        <f t="shared" si="10"/>
        <v>0</v>
      </c>
      <c r="T22" s="13">
        <f t="shared" si="11"/>
        <v>0.83999999999999986</v>
      </c>
      <c r="U22" s="20">
        <f t="shared" si="12"/>
        <v>143.59027740000022</v>
      </c>
    </row>
    <row r="23" spans="1:21" x14ac:dyDescent="0.25">
      <c r="A23" t="s">
        <v>56</v>
      </c>
      <c r="D23" s="10">
        <f>SUM(D11:D22)</f>
        <v>1674</v>
      </c>
      <c r="F23" s="11">
        <f>SUM(F11:F22)</f>
        <v>867.06000000000017</v>
      </c>
      <c r="G23" s="11">
        <f>AVERAGE(G11:G22)</f>
        <v>28.208333333333332</v>
      </c>
      <c r="H23">
        <f t="shared" si="2"/>
        <v>1623.78</v>
      </c>
      <c r="I23">
        <f t="shared" si="3"/>
        <v>1590.3</v>
      </c>
      <c r="J23">
        <f t="shared" si="4"/>
        <v>1623.78</v>
      </c>
      <c r="K23">
        <f t="shared" si="5"/>
        <v>1623.78</v>
      </c>
      <c r="L23" s="11">
        <f t="shared" si="6"/>
        <v>1615.4099999999999</v>
      </c>
      <c r="M23" s="11">
        <f>SUM(M11:M22)</f>
        <v>1534.6395</v>
      </c>
      <c r="O23" s="11">
        <f>SUM(O11:O22)</f>
        <v>8662.42117125</v>
      </c>
      <c r="Q23" s="16">
        <f>SUM(Q11:Q22)</f>
        <v>9600</v>
      </c>
      <c r="R23" s="17">
        <f>SUM(R11:R22)</f>
        <v>8558.5355410499997</v>
      </c>
      <c r="S23" s="12">
        <f>SUM(S11:S22)</f>
        <v>103.88563019999935</v>
      </c>
      <c r="T23" s="13">
        <f>SUM(O11:O22)/(SUM(M11:M22)*$H$3)</f>
        <v>0.81451612903225812</v>
      </c>
      <c r="U23" s="20">
        <f>SUM(U11:U22)</f>
        <v>1041.4644589500006</v>
      </c>
    </row>
    <row r="25" spans="1:21" x14ac:dyDescent="0.25">
      <c r="N25" t="s">
        <v>57</v>
      </c>
      <c r="O25" s="30">
        <f>SQRT(O4^2+O5^2+O6^2+O7^2+O8^2)</f>
        <v>4.2059481689626178E-2</v>
      </c>
      <c r="P25" t="s">
        <v>12</v>
      </c>
      <c r="T25" t="s">
        <v>58</v>
      </c>
    </row>
    <row r="26" spans="1:21" x14ac:dyDescent="0.25">
      <c r="N26" t="s">
        <v>59</v>
      </c>
      <c r="O26" s="30">
        <f>SQRT(O3^2+O25^2)</f>
        <v>5.6683330883073549E-2</v>
      </c>
      <c r="P26" t="s">
        <v>12</v>
      </c>
      <c r="T26" t="s">
        <v>60</v>
      </c>
    </row>
    <row r="27" spans="1:21" x14ac:dyDescent="0.25">
      <c r="N27" t="s">
        <v>198</v>
      </c>
      <c r="O27" s="31">
        <f>O28*O26</f>
        <v>491.01488549850529</v>
      </c>
      <c r="P27" t="s">
        <v>199</v>
      </c>
      <c r="T27" s="2" t="s">
        <v>62</v>
      </c>
      <c r="U27" s="4" t="s">
        <v>63</v>
      </c>
    </row>
    <row r="28" spans="1:21" ht="30" customHeight="1" x14ac:dyDescent="0.25">
      <c r="M28" s="1"/>
      <c r="N28" t="s">
        <v>61</v>
      </c>
      <c r="O28" s="31">
        <f>O23</f>
        <v>8662.42117125</v>
      </c>
      <c r="P28" t="s">
        <v>7</v>
      </c>
      <c r="Q28" s="1"/>
      <c r="T28" s="5" t="s">
        <v>65</v>
      </c>
      <c r="U28" s="3" t="s">
        <v>66</v>
      </c>
    </row>
    <row r="29" spans="1:21" ht="30" customHeight="1" x14ac:dyDescent="0.25">
      <c r="N29" t="s">
        <v>64</v>
      </c>
      <c r="O29" s="31">
        <f>O28-(0.674*O26*O28)</f>
        <v>8331.4771384240066</v>
      </c>
      <c r="P29" t="s">
        <v>7</v>
      </c>
      <c r="T29" s="5" t="s">
        <v>68</v>
      </c>
      <c r="U29" s="3" t="s">
        <v>69</v>
      </c>
    </row>
    <row r="30" spans="1:21" ht="30" customHeight="1" x14ac:dyDescent="0.25">
      <c r="N30" t="s">
        <v>67</v>
      </c>
      <c r="O30" s="31">
        <f>O28-(1.282*O26*O28)</f>
        <v>8032.9400880409166</v>
      </c>
      <c r="P30" t="s">
        <v>7</v>
      </c>
      <c r="T30" s="5" t="s">
        <v>70</v>
      </c>
      <c r="U30" s="3" t="s">
        <v>71</v>
      </c>
    </row>
    <row r="31" spans="1:21" ht="30" customHeight="1" x14ac:dyDescent="0.25">
      <c r="T31" s="5" t="s">
        <v>72</v>
      </c>
      <c r="U31" s="3" t="s">
        <v>73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workbookViewId="0">
      <selection activeCell="B29" sqref="B29"/>
    </sheetView>
  </sheetViews>
  <sheetFormatPr defaultRowHeight="15" x14ac:dyDescent="0.25"/>
  <cols>
    <col min="1" max="1" width="40" bestFit="1" customWidth="1"/>
    <col min="2" max="2" width="35" customWidth="1"/>
  </cols>
  <sheetData>
    <row r="1" spans="1:2" ht="18.75" x14ac:dyDescent="0.25">
      <c r="A1" s="41" t="s">
        <v>170</v>
      </c>
      <c r="B1" s="41"/>
    </row>
    <row r="2" spans="1:2" x14ac:dyDescent="0.25">
      <c r="A2" s="42"/>
      <c r="B2" s="42"/>
    </row>
    <row r="3" spans="1:2" x14ac:dyDescent="0.25">
      <c r="A3" s="43" t="s">
        <v>171</v>
      </c>
      <c r="B3" s="42"/>
    </row>
    <row r="4" spans="1:2" x14ac:dyDescent="0.25">
      <c r="A4" s="42" t="s">
        <v>172</v>
      </c>
      <c r="B4" s="45">
        <f>GlobHor_DiffHor!D23</f>
        <v>1674</v>
      </c>
    </row>
    <row r="5" spans="1:2" x14ac:dyDescent="0.25">
      <c r="A5" s="42" t="s">
        <v>173</v>
      </c>
      <c r="B5" s="45">
        <f>GlobHor_DiffHor!L23</f>
        <v>1615.4099999999999</v>
      </c>
    </row>
    <row r="6" spans="1:2" x14ac:dyDescent="0.25">
      <c r="A6" s="42" t="s">
        <v>174</v>
      </c>
      <c r="B6" s="44">
        <f>GlobHor_DiffHor!M23</f>
        <v>1534.6395</v>
      </c>
    </row>
    <row r="7" spans="1:2" x14ac:dyDescent="0.25">
      <c r="A7" s="42"/>
      <c r="B7" s="44"/>
    </row>
    <row r="8" spans="1:2" x14ac:dyDescent="0.25">
      <c r="A8" s="43" t="s">
        <v>175</v>
      </c>
      <c r="B8" s="44"/>
    </row>
    <row r="9" spans="1:2" x14ac:dyDescent="0.25">
      <c r="A9" s="42" t="s">
        <v>176</v>
      </c>
      <c r="B9" s="45">
        <f>GlobHor_DiffHor!O23</f>
        <v>8662.42117125</v>
      </c>
    </row>
    <row r="10" spans="1:2" x14ac:dyDescent="0.25">
      <c r="A10" s="42" t="s">
        <v>177</v>
      </c>
      <c r="B10" s="44">
        <v>1</v>
      </c>
    </row>
    <row r="11" spans="1:2" x14ac:dyDescent="0.25">
      <c r="A11" s="42" t="s">
        <v>178</v>
      </c>
      <c r="B11" s="44"/>
    </row>
    <row r="12" spans="1:2" x14ac:dyDescent="0.25">
      <c r="A12" s="42" t="s">
        <v>179</v>
      </c>
      <c r="B12" s="44"/>
    </row>
    <row r="13" spans="1:2" x14ac:dyDescent="0.25">
      <c r="A13" s="42" t="s">
        <v>180</v>
      </c>
      <c r="B13" s="44">
        <f>'PAGE 4'!B9</f>
        <v>1.5238095238095239</v>
      </c>
    </row>
    <row r="14" spans="1:2" x14ac:dyDescent="0.25">
      <c r="A14" t="s">
        <v>195</v>
      </c>
      <c r="B14" s="44">
        <f>B9*(1-8.5%)</f>
        <v>7926.1153716937506</v>
      </c>
    </row>
    <row r="15" spans="1:2" x14ac:dyDescent="0.25">
      <c r="A15" t="s">
        <v>196</v>
      </c>
      <c r="B15" s="45">
        <f>B14*(1-0.6%)</f>
        <v>7878.5586794635883</v>
      </c>
    </row>
    <row r="16" spans="1:2" x14ac:dyDescent="0.25">
      <c r="A16" t="s">
        <v>197</v>
      </c>
      <c r="B16" s="45">
        <f>B15*(1-2.64%)</f>
        <v>7670.5647303257501</v>
      </c>
    </row>
    <row r="17" spans="1:2" x14ac:dyDescent="0.25">
      <c r="A17" s="42" t="s">
        <v>181</v>
      </c>
      <c r="B17" s="44"/>
    </row>
    <row r="18" spans="1:2" x14ac:dyDescent="0.25">
      <c r="A18" s="43"/>
      <c r="B18" s="44"/>
    </row>
    <row r="19" spans="1:2" x14ac:dyDescent="0.25">
      <c r="A19" s="42" t="s">
        <v>182</v>
      </c>
      <c r="B19" s="44"/>
    </row>
    <row r="20" spans="1:2" x14ac:dyDescent="0.25">
      <c r="A20" s="42" t="s">
        <v>183</v>
      </c>
      <c r="B20" s="45">
        <f>GlobHor_DiffHor!R23*0.2</f>
        <v>1711.7071082100001</v>
      </c>
    </row>
    <row r="21" spans="1:2" x14ac:dyDescent="0.25">
      <c r="A21" s="42" t="s">
        <v>184</v>
      </c>
      <c r="B21" s="44">
        <f>GlobHor_DiffHor!S23</f>
        <v>103.88563019999935</v>
      </c>
    </row>
    <row r="22" spans="1:2" x14ac:dyDescent="0.25">
      <c r="A22" s="42" t="s">
        <v>185</v>
      </c>
      <c r="B22" s="44">
        <f>GlobHor_DiffHor!U23</f>
        <v>1041.4644589500006</v>
      </c>
    </row>
    <row r="23" spans="1:2" x14ac:dyDescent="0.25">
      <c r="A23" s="42"/>
      <c r="B23" s="44"/>
    </row>
    <row r="24" spans="1:2" x14ac:dyDescent="0.25">
      <c r="A24" s="43" t="s">
        <v>186</v>
      </c>
      <c r="B24" s="44"/>
    </row>
    <row r="25" spans="1:2" x14ac:dyDescent="0.25">
      <c r="A25" s="42" t="s">
        <v>187</v>
      </c>
      <c r="B25" s="44">
        <f>FORM!B80</f>
        <v>16.100000000000001</v>
      </c>
    </row>
    <row r="26" spans="1:2" x14ac:dyDescent="0.25">
      <c r="A26" s="42" t="s">
        <v>188</v>
      </c>
      <c r="B26" s="44">
        <f>FORM!B81</f>
        <v>12.1</v>
      </c>
    </row>
    <row r="27" spans="1:2" x14ac:dyDescent="0.25">
      <c r="A27" s="42" t="s">
        <v>189</v>
      </c>
      <c r="B27" s="44">
        <f>FORM!D77</f>
        <v>8.0069999999999997</v>
      </c>
    </row>
    <row r="28" spans="1:2" x14ac:dyDescent="0.25">
      <c r="A28" s="42" t="s">
        <v>190</v>
      </c>
      <c r="B28" s="44" t="b">
        <f>FORM!D79</f>
        <v>1</v>
      </c>
    </row>
    <row r="29" spans="1:2" x14ac:dyDescent="0.25">
      <c r="A29" s="42" t="s">
        <v>191</v>
      </c>
      <c r="B29" s="45">
        <f>GlobHor_DiffHor!R23-B20</f>
        <v>6846.8284328399996</v>
      </c>
    </row>
    <row r="30" spans="1:2" x14ac:dyDescent="0.25">
      <c r="A30" s="42" t="s">
        <v>192</v>
      </c>
      <c r="B30" s="44"/>
    </row>
    <row r="31" spans="1:2" x14ac:dyDescent="0.25">
      <c r="A31" s="42" t="s">
        <v>193</v>
      </c>
      <c r="B31" s="44"/>
    </row>
    <row r="32" spans="1:2" x14ac:dyDescent="0.25">
      <c r="A32" s="43"/>
      <c r="B32" s="44"/>
    </row>
    <row r="33" spans="1:2" x14ac:dyDescent="0.25">
      <c r="A33" s="42" t="s">
        <v>194</v>
      </c>
      <c r="B33" s="44"/>
    </row>
    <row r="34" spans="1:2" x14ac:dyDescent="0.25">
      <c r="A34" s="42" t="s">
        <v>6</v>
      </c>
      <c r="B34" s="44">
        <f>FORM!B13</f>
        <v>8662.42117125</v>
      </c>
    </row>
    <row r="35" spans="1:2" x14ac:dyDescent="0.25">
      <c r="A35" s="42" t="s">
        <v>64</v>
      </c>
      <c r="B35" s="44"/>
    </row>
    <row r="36" spans="1:2" x14ac:dyDescent="0.25">
      <c r="A36" s="42" t="s">
        <v>67</v>
      </c>
      <c r="B36" s="44"/>
    </row>
    <row r="37" spans="1:2" x14ac:dyDescent="0.25">
      <c r="B37" s="2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BCA8-F979-4DBB-B70C-86616F721418}">
  <dimension ref="A1:C19"/>
  <sheetViews>
    <sheetView workbookViewId="0">
      <selection activeCell="C11" sqref="C11"/>
    </sheetView>
  </sheetViews>
  <sheetFormatPr defaultRowHeight="15" x14ac:dyDescent="0.25"/>
  <cols>
    <col min="1" max="1" width="15.42578125" bestFit="1" customWidth="1"/>
    <col min="2" max="3" width="34.85546875" bestFit="1" customWidth="1"/>
    <col min="4" max="4" width="23.5703125" bestFit="1" customWidth="1"/>
    <col min="5" max="5" width="15.85546875" bestFit="1" customWidth="1"/>
    <col min="8" max="8" width="15.85546875" bestFit="1" customWidth="1"/>
  </cols>
  <sheetData>
    <row r="1" spans="1:3" x14ac:dyDescent="0.25">
      <c r="A1" t="s">
        <v>202</v>
      </c>
      <c r="B1" s="7" t="s">
        <v>200</v>
      </c>
      <c r="C1" s="7"/>
    </row>
    <row r="2" spans="1:3" x14ac:dyDescent="0.25">
      <c r="A2" t="s">
        <v>203</v>
      </c>
      <c r="B2" s="39">
        <v>5.1826590000000001</v>
      </c>
      <c r="C2" s="39">
        <v>100.48085399999999</v>
      </c>
    </row>
    <row r="3" spans="1:3" x14ac:dyDescent="0.25">
      <c r="A3" t="s">
        <v>204</v>
      </c>
      <c r="B3" s="7" t="s">
        <v>201</v>
      </c>
      <c r="C3" s="7"/>
    </row>
    <row r="5" spans="1:3" x14ac:dyDescent="0.25">
      <c r="A5" s="1" t="s">
        <v>43</v>
      </c>
      <c r="B5" s="65">
        <v>1800</v>
      </c>
    </row>
    <row r="6" spans="1:3" x14ac:dyDescent="0.25">
      <c r="A6" s="38" t="s">
        <v>22</v>
      </c>
      <c r="B6" s="66">
        <v>9600</v>
      </c>
    </row>
    <row r="8" spans="1:3" x14ac:dyDescent="0.25">
      <c r="A8" t="s">
        <v>276</v>
      </c>
    </row>
    <row r="9" spans="1:3" x14ac:dyDescent="0.25">
      <c r="A9" s="57" t="s">
        <v>62</v>
      </c>
      <c r="B9" s="57" t="s">
        <v>63</v>
      </c>
    </row>
    <row r="10" spans="1:3" ht="30" x14ac:dyDescent="0.25">
      <c r="A10" s="58" t="s">
        <v>292</v>
      </c>
      <c r="B10" s="58" t="s">
        <v>66</v>
      </c>
    </row>
    <row r="11" spans="1:3" x14ac:dyDescent="0.25">
      <c r="A11" s="58" t="s">
        <v>293</v>
      </c>
      <c r="B11" s="58" t="s">
        <v>69</v>
      </c>
    </row>
    <row r="12" spans="1:3" x14ac:dyDescent="0.25">
      <c r="A12" s="58" t="s">
        <v>294</v>
      </c>
      <c r="B12" s="58" t="s">
        <v>71</v>
      </c>
    </row>
    <row r="13" spans="1:3" x14ac:dyDescent="0.25">
      <c r="A13" s="58" t="s">
        <v>72</v>
      </c>
      <c r="B13" s="58" t="s">
        <v>73</v>
      </c>
    </row>
    <row r="15" spans="1:3" ht="30" x14ac:dyDescent="0.25">
      <c r="A15" s="5" t="s">
        <v>295</v>
      </c>
      <c r="B15" s="5" t="s">
        <v>296</v>
      </c>
      <c r="C15" s="73" t="s">
        <v>162</v>
      </c>
    </row>
    <row r="16" spans="1:3" ht="30" x14ac:dyDescent="0.25">
      <c r="A16" s="5" t="s">
        <v>297</v>
      </c>
      <c r="B16" s="5" t="s">
        <v>298</v>
      </c>
      <c r="C16" s="73"/>
    </row>
    <row r="17" spans="1:3" ht="30" x14ac:dyDescent="0.25">
      <c r="A17" s="5" t="s">
        <v>299</v>
      </c>
      <c r="B17" s="5" t="s">
        <v>300</v>
      </c>
      <c r="C17" s="73" t="s">
        <v>163</v>
      </c>
    </row>
    <row r="18" spans="1:3" x14ac:dyDescent="0.25">
      <c r="A18" s="5" t="s">
        <v>301</v>
      </c>
      <c r="B18" s="5" t="s">
        <v>302</v>
      </c>
      <c r="C18" s="73"/>
    </row>
    <row r="19" spans="1:3" x14ac:dyDescent="0.25">
      <c r="A19" s="5" t="s">
        <v>303</v>
      </c>
      <c r="B19" s="5" t="s">
        <v>304</v>
      </c>
      <c r="C19" s="73"/>
    </row>
  </sheetData>
  <mergeCells count="2">
    <mergeCell ref="C15:C16"/>
    <mergeCell ref="C17:C1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EF45-B47A-42F7-8907-699ED1DFC32C}">
  <dimension ref="A1:I19"/>
  <sheetViews>
    <sheetView workbookViewId="0">
      <selection activeCell="F18" sqref="F18"/>
    </sheetView>
  </sheetViews>
  <sheetFormatPr defaultRowHeight="15" x14ac:dyDescent="0.25"/>
  <cols>
    <col min="1" max="1" width="25.140625" bestFit="1" customWidth="1"/>
    <col min="3" max="3" width="18.7109375" bestFit="1" customWidth="1"/>
    <col min="5" max="5" width="16" bestFit="1" customWidth="1"/>
    <col min="8" max="8" width="15.85546875" bestFit="1" customWidth="1"/>
  </cols>
  <sheetData>
    <row r="1" spans="1:9" ht="18.75" x14ac:dyDescent="0.3">
      <c r="A1" s="51" t="s">
        <v>211</v>
      </c>
    </row>
    <row r="2" spans="1:9" x14ac:dyDescent="0.25">
      <c r="A2" t="s">
        <v>205</v>
      </c>
      <c r="B2" t="str">
        <f>'PAGE 1'!B3</f>
        <v>19, LORONG CENDERAWASIH INDAH 4</v>
      </c>
    </row>
    <row r="3" spans="1:9" x14ac:dyDescent="0.25">
      <c r="A3" t="s">
        <v>206</v>
      </c>
      <c r="B3" t="str">
        <f>'PAGE 1'!B3</f>
        <v>19, LORONG CENDERAWASIH INDAH 4</v>
      </c>
    </row>
    <row r="4" spans="1:9" x14ac:dyDescent="0.25">
      <c r="A4" t="s">
        <v>207</v>
      </c>
      <c r="B4" s="32">
        <f>'PAGE 1'!B2</f>
        <v>5.1826590000000001</v>
      </c>
    </row>
    <row r="5" spans="1:9" x14ac:dyDescent="0.25">
      <c r="A5" s="54" t="s">
        <v>208</v>
      </c>
      <c r="B5" s="33">
        <f>'PAGE 1'!C2</f>
        <v>100.48085399999999</v>
      </c>
      <c r="C5" s="1"/>
      <c r="D5" s="1"/>
      <c r="E5" s="34"/>
      <c r="G5" s="34"/>
    </row>
    <row r="6" spans="1:9" x14ac:dyDescent="0.25">
      <c r="E6" s="32"/>
      <c r="F6" s="32"/>
      <c r="G6" s="32"/>
      <c r="H6" s="32"/>
    </row>
    <row r="7" spans="1:9" ht="18.75" x14ac:dyDescent="0.3">
      <c r="A7" s="51" t="s">
        <v>212</v>
      </c>
    </row>
    <row r="8" spans="1:9" x14ac:dyDescent="0.25">
      <c r="A8" t="s">
        <v>209</v>
      </c>
      <c r="C8" t="s">
        <v>213</v>
      </c>
      <c r="E8" t="s">
        <v>214</v>
      </c>
      <c r="H8" t="s">
        <v>215</v>
      </c>
    </row>
    <row r="9" spans="1:9" x14ac:dyDescent="0.25">
      <c r="A9" t="s">
        <v>210</v>
      </c>
      <c r="B9" s="7" t="s">
        <v>268</v>
      </c>
      <c r="C9" t="s">
        <v>210</v>
      </c>
      <c r="D9" s="7" t="s">
        <v>268</v>
      </c>
      <c r="E9" t="s">
        <v>210</v>
      </c>
      <c r="F9" s="7" t="s">
        <v>268</v>
      </c>
      <c r="H9" t="s">
        <v>210</v>
      </c>
      <c r="I9" s="7" t="s">
        <v>268</v>
      </c>
    </row>
    <row r="11" spans="1:9" x14ac:dyDescent="0.25">
      <c r="A11" t="s">
        <v>216</v>
      </c>
    </row>
    <row r="12" spans="1:9" x14ac:dyDescent="0.25">
      <c r="A12" s="53" t="s">
        <v>217</v>
      </c>
      <c r="C12" s="53" t="s">
        <v>85</v>
      </c>
      <c r="E12" s="53" t="s">
        <v>86</v>
      </c>
    </row>
    <row r="13" spans="1:9" x14ac:dyDescent="0.25">
      <c r="A13" t="s">
        <v>218</v>
      </c>
      <c r="B13" s="7">
        <v>11</v>
      </c>
      <c r="C13" t="s">
        <v>220</v>
      </c>
      <c r="D13" s="32">
        <v>1</v>
      </c>
      <c r="E13" s="32" t="s">
        <v>88</v>
      </c>
      <c r="F13" s="39">
        <v>1</v>
      </c>
    </row>
    <row r="14" spans="1:9" x14ac:dyDescent="0.25">
      <c r="A14" t="s">
        <v>219</v>
      </c>
      <c r="B14">
        <f>B13*'PAGE 3'!B17/1000</f>
        <v>6.93</v>
      </c>
      <c r="C14" t="s">
        <v>124</v>
      </c>
      <c r="D14" s="39">
        <v>5</v>
      </c>
      <c r="E14" s="32" t="s">
        <v>148</v>
      </c>
      <c r="F14" s="32">
        <v>51</v>
      </c>
    </row>
    <row r="15" spans="1:9" x14ac:dyDescent="0.25">
      <c r="C15" t="s">
        <v>221</v>
      </c>
      <c r="D15" s="49">
        <f>B14/D14</f>
        <v>1.3859999999999999</v>
      </c>
      <c r="E15" s="32" t="s">
        <v>222</v>
      </c>
      <c r="F15" s="32">
        <f>F13*314</f>
        <v>314</v>
      </c>
    </row>
    <row r="17" spans="1:6" ht="18.75" x14ac:dyDescent="0.3">
      <c r="A17" s="51" t="s">
        <v>95</v>
      </c>
    </row>
    <row r="18" spans="1:6" x14ac:dyDescent="0.25">
      <c r="A18" t="s">
        <v>223</v>
      </c>
      <c r="B18" s="59">
        <f>GlobHor_DiffHor!O23</f>
        <v>8662.42117125</v>
      </c>
      <c r="C18" t="s">
        <v>225</v>
      </c>
      <c r="D18" s="59">
        <f>B18/PAGE2!B14</f>
        <v>1249.988625</v>
      </c>
      <c r="E18" t="s">
        <v>226</v>
      </c>
      <c r="F18" s="28">
        <f>GlobHor_DiffHor!T23*100</f>
        <v>81.451612903225808</v>
      </c>
    </row>
    <row r="19" spans="1:6" x14ac:dyDescent="0.25">
      <c r="A19" t="s">
        <v>224</v>
      </c>
      <c r="B19" s="59">
        <f>GlobHor_DiffHor!Q23</f>
        <v>9600</v>
      </c>
      <c r="E19" t="s">
        <v>227</v>
      </c>
      <c r="F19" s="28">
        <f>GlobHor_DiffHor!R23/GlobHor_DiffHor!Q23*100</f>
        <v>89.151411885937492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0D65-641F-47E1-A2E0-DACE6A176E00}">
  <dimension ref="A1:I63"/>
  <sheetViews>
    <sheetView topLeftCell="A33" workbookViewId="0">
      <selection activeCell="B56" sqref="B56"/>
    </sheetView>
  </sheetViews>
  <sheetFormatPr defaultRowHeight="15" x14ac:dyDescent="0.25"/>
  <cols>
    <col min="1" max="1" width="28.5703125" bestFit="1" customWidth="1"/>
    <col min="2" max="2" width="30.28515625" bestFit="1" customWidth="1"/>
    <col min="3" max="3" width="28.140625" bestFit="1" customWidth="1"/>
    <col min="4" max="4" width="10" bestFit="1" customWidth="1"/>
    <col min="5" max="5" width="15.85546875" bestFit="1" customWidth="1"/>
    <col min="8" max="8" width="15.85546875" bestFit="1" customWidth="1"/>
  </cols>
  <sheetData>
    <row r="1" spans="1:9" ht="18.75" x14ac:dyDescent="0.3">
      <c r="A1" s="51" t="s">
        <v>228</v>
      </c>
    </row>
    <row r="2" spans="1:9" x14ac:dyDescent="0.25">
      <c r="A2" s="53" t="s">
        <v>209</v>
      </c>
      <c r="B2" s="53"/>
      <c r="C2" s="53" t="s">
        <v>213</v>
      </c>
      <c r="D2" s="53"/>
      <c r="E2" s="53" t="s">
        <v>214</v>
      </c>
      <c r="F2" s="53"/>
      <c r="G2" s="53"/>
      <c r="H2" s="53" t="s">
        <v>215</v>
      </c>
    </row>
    <row r="3" spans="1:9" x14ac:dyDescent="0.25">
      <c r="A3" t="s">
        <v>210</v>
      </c>
      <c r="B3" t="str">
        <f>PAGE2!B9</f>
        <v>20/180°</v>
      </c>
      <c r="C3" t="s">
        <v>210</v>
      </c>
      <c r="D3" t="str">
        <f>PAGE2!D9</f>
        <v>20/180°</v>
      </c>
      <c r="E3" t="s">
        <v>210</v>
      </c>
      <c r="F3" t="str">
        <f>PAGE2!F9</f>
        <v>20/180°</v>
      </c>
      <c r="H3" t="s">
        <v>210</v>
      </c>
      <c r="I3" t="str">
        <f>PAGE2!I9</f>
        <v>20/180°</v>
      </c>
    </row>
    <row r="5" spans="1:9" x14ac:dyDescent="0.25">
      <c r="A5" s="53" t="s">
        <v>229</v>
      </c>
    </row>
    <row r="6" spans="1:9" x14ac:dyDescent="0.25">
      <c r="A6" t="s">
        <v>44</v>
      </c>
      <c r="B6">
        <f>GlobHor_DiffHor!Q11</f>
        <v>768</v>
      </c>
      <c r="C6" t="s">
        <v>49</v>
      </c>
      <c r="D6">
        <f>GlobHor_DiffHor!Q16</f>
        <v>912</v>
      </c>
      <c r="E6" t="s">
        <v>104</v>
      </c>
      <c r="F6">
        <f>GlobHor_DiffHor!Q21</f>
        <v>720</v>
      </c>
    </row>
    <row r="7" spans="1:9" x14ac:dyDescent="0.25">
      <c r="A7" t="s">
        <v>105</v>
      </c>
      <c r="B7">
        <f>GlobHor_DiffHor!Q12</f>
        <v>720</v>
      </c>
      <c r="C7" t="s">
        <v>106</v>
      </c>
      <c r="D7">
        <f>GlobHor_DiffHor!Q17</f>
        <v>864</v>
      </c>
      <c r="E7" t="s">
        <v>107</v>
      </c>
      <c r="F7">
        <f>GlobHor_DiffHor!Q22</f>
        <v>816.00000000000011</v>
      </c>
    </row>
    <row r="8" spans="1:9" x14ac:dyDescent="0.25">
      <c r="A8" t="s">
        <v>108</v>
      </c>
      <c r="B8">
        <f>GlobHor_DiffHor!Q13</f>
        <v>768</v>
      </c>
      <c r="C8" t="s">
        <v>109</v>
      </c>
      <c r="D8">
        <f>GlobHor_DiffHor!Q18</f>
        <v>816.00000000000011</v>
      </c>
      <c r="E8" s="38" t="s">
        <v>110</v>
      </c>
      <c r="F8">
        <f>GlobHor_DiffHor!Q23</f>
        <v>9600</v>
      </c>
    </row>
    <row r="9" spans="1:9" x14ac:dyDescent="0.25">
      <c r="A9" t="s">
        <v>111</v>
      </c>
      <c r="B9">
        <f>GlobHor_DiffHor!Q14</f>
        <v>816.00000000000011</v>
      </c>
      <c r="C9" t="s">
        <v>112</v>
      </c>
      <c r="D9">
        <f>GlobHor_DiffHor!Q19</f>
        <v>768</v>
      </c>
    </row>
    <row r="10" spans="1:9" x14ac:dyDescent="0.25">
      <c r="A10" t="s">
        <v>48</v>
      </c>
      <c r="B10">
        <f>GlobHor_DiffHor!Q15</f>
        <v>864</v>
      </c>
      <c r="C10" t="s">
        <v>53</v>
      </c>
      <c r="D10">
        <f>GlobHor_DiffHor!Q20</f>
        <v>768</v>
      </c>
    </row>
    <row r="12" spans="1:9" ht="18.75" x14ac:dyDescent="0.3">
      <c r="A12" s="51" t="s">
        <v>113</v>
      </c>
    </row>
    <row r="13" spans="1:9" x14ac:dyDescent="0.25">
      <c r="A13" s="53" t="s">
        <v>230</v>
      </c>
      <c r="C13" s="53" t="s">
        <v>233</v>
      </c>
    </row>
    <row r="14" spans="1:9" x14ac:dyDescent="0.25">
      <c r="A14" t="s">
        <v>114</v>
      </c>
      <c r="B14" s="7" t="s">
        <v>115</v>
      </c>
      <c r="C14" t="s">
        <v>114</v>
      </c>
      <c r="D14" t="s">
        <v>116</v>
      </c>
    </row>
    <row r="15" spans="1:9" x14ac:dyDescent="0.25">
      <c r="A15" t="s">
        <v>231</v>
      </c>
      <c r="B15" s="7" t="s">
        <v>269</v>
      </c>
      <c r="C15" t="s">
        <v>231</v>
      </c>
      <c r="D15" s="7" t="s">
        <v>118</v>
      </c>
    </row>
    <row r="16" spans="1:9" x14ac:dyDescent="0.25">
      <c r="A16" t="s">
        <v>232</v>
      </c>
      <c r="B16" s="7" t="s">
        <v>270</v>
      </c>
    </row>
    <row r="17" spans="1:5" x14ac:dyDescent="0.25">
      <c r="A17" t="s">
        <v>120</v>
      </c>
      <c r="B17" s="39">
        <v>630</v>
      </c>
      <c r="C17" t="s">
        <v>120</v>
      </c>
      <c r="D17" s="49">
        <f>PAGE2!D14</f>
        <v>5</v>
      </c>
    </row>
    <row r="19" spans="1:5" x14ac:dyDescent="0.25">
      <c r="A19" s="52" t="s">
        <v>121</v>
      </c>
    </row>
    <row r="20" spans="1:5" x14ac:dyDescent="0.25">
      <c r="A20" t="s">
        <v>3</v>
      </c>
      <c r="B20" s="32">
        <v>1</v>
      </c>
      <c r="C20" s="32"/>
      <c r="D20" s="32"/>
    </row>
    <row r="21" spans="1:5" x14ac:dyDescent="0.25">
      <c r="A21" t="s">
        <v>123</v>
      </c>
      <c r="B21" s="32" t="str">
        <f>B3</f>
        <v>20/180°</v>
      </c>
      <c r="C21" s="32"/>
      <c r="D21" s="32"/>
    </row>
    <row r="22" spans="1:5" x14ac:dyDescent="0.25">
      <c r="A22" t="s">
        <v>125</v>
      </c>
      <c r="B22" s="39">
        <v>7</v>
      </c>
      <c r="C22" s="32" t="s">
        <v>122</v>
      </c>
      <c r="D22" s="62">
        <f>FORM!D31</f>
        <v>64</v>
      </c>
      <c r="E22" s="63">
        <f>FORM!E31</f>
        <v>0.64</v>
      </c>
    </row>
    <row r="23" spans="1:5" x14ac:dyDescent="0.25">
      <c r="A23" t="s">
        <v>126</v>
      </c>
      <c r="B23" s="32">
        <f>B22*B17</f>
        <v>4410</v>
      </c>
      <c r="C23" s="32" t="s">
        <v>124</v>
      </c>
      <c r="D23" s="60">
        <f>D17*D22/100</f>
        <v>3.2</v>
      </c>
    </row>
    <row r="24" spans="1:5" x14ac:dyDescent="0.25">
      <c r="A24" t="s">
        <v>129</v>
      </c>
      <c r="B24" s="32">
        <f>B22</f>
        <v>7</v>
      </c>
      <c r="C24" s="32"/>
      <c r="D24" s="64" t="s">
        <v>271</v>
      </c>
      <c r="E24" s="53" t="s">
        <v>272</v>
      </c>
    </row>
    <row r="25" spans="1:5" x14ac:dyDescent="0.25">
      <c r="A25" s="38" t="s">
        <v>130</v>
      </c>
      <c r="B25" s="32"/>
      <c r="C25" s="32" t="s">
        <v>127</v>
      </c>
      <c r="D25" s="32" t="s">
        <v>128</v>
      </c>
      <c r="E25" s="32" t="s">
        <v>273</v>
      </c>
    </row>
    <row r="26" spans="1:5" x14ac:dyDescent="0.25">
      <c r="A26" t="s">
        <v>132</v>
      </c>
      <c r="B26" s="32">
        <f>B22*588</f>
        <v>4116</v>
      </c>
      <c r="C26" s="32" t="s">
        <v>131</v>
      </c>
      <c r="D26" s="61">
        <f>PAGE2!D15</f>
        <v>1.3859999999999999</v>
      </c>
      <c r="E26" s="61">
        <f>PAGE2!D15</f>
        <v>1.3859999999999999</v>
      </c>
    </row>
    <row r="27" spans="1:5" x14ac:dyDescent="0.25">
      <c r="A27" t="s">
        <v>133</v>
      </c>
      <c r="B27" s="47">
        <f>B22*37.7</f>
        <v>263.90000000000003</v>
      </c>
      <c r="C27" s="32"/>
      <c r="D27" s="32"/>
    </row>
    <row r="28" spans="1:5" x14ac:dyDescent="0.25">
      <c r="A28" t="s">
        <v>134</v>
      </c>
      <c r="B28" s="47">
        <f>IFERROR(B26/B27,0)</f>
        <v>15.596816976127318</v>
      </c>
      <c r="C28" s="32"/>
      <c r="D28" s="32"/>
    </row>
    <row r="29" spans="1:5" x14ac:dyDescent="0.25">
      <c r="A29" s="52" t="s">
        <v>234</v>
      </c>
      <c r="B29" s="32"/>
      <c r="C29" s="32"/>
      <c r="D29" s="32"/>
    </row>
    <row r="30" spans="1:5" x14ac:dyDescent="0.25">
      <c r="A30" t="s">
        <v>3</v>
      </c>
      <c r="B30" s="32">
        <v>1</v>
      </c>
      <c r="C30" s="32"/>
      <c r="D30" s="32"/>
    </row>
    <row r="31" spans="1:5" x14ac:dyDescent="0.25">
      <c r="A31" t="s">
        <v>123</v>
      </c>
      <c r="B31" s="32" t="str">
        <f>D3</f>
        <v>20/180°</v>
      </c>
      <c r="C31" s="32"/>
      <c r="D31" s="32"/>
    </row>
    <row r="32" spans="1:5" x14ac:dyDescent="0.25">
      <c r="A32" t="s">
        <v>125</v>
      </c>
      <c r="B32" s="39">
        <v>7</v>
      </c>
      <c r="C32" s="32" t="s">
        <v>122</v>
      </c>
      <c r="D32" s="62">
        <f>FORM!D41</f>
        <v>64</v>
      </c>
      <c r="E32" s="63">
        <f>FORM!E41</f>
        <v>0.64</v>
      </c>
    </row>
    <row r="33" spans="1:5" x14ac:dyDescent="0.25">
      <c r="A33" t="s">
        <v>126</v>
      </c>
      <c r="B33" s="32">
        <f>B32*B17</f>
        <v>4410</v>
      </c>
      <c r="C33" s="32" t="s">
        <v>124</v>
      </c>
      <c r="D33" s="60">
        <f>D17*D32/100</f>
        <v>3.2</v>
      </c>
    </row>
    <row r="34" spans="1:5" x14ac:dyDescent="0.25">
      <c r="A34" t="s">
        <v>129</v>
      </c>
      <c r="B34" s="32">
        <f>B32</f>
        <v>7</v>
      </c>
      <c r="C34" s="32"/>
      <c r="D34" s="64" t="s">
        <v>271</v>
      </c>
      <c r="E34" s="53" t="s">
        <v>272</v>
      </c>
    </row>
    <row r="35" spans="1:5" x14ac:dyDescent="0.25">
      <c r="A35" s="38" t="s">
        <v>130</v>
      </c>
      <c r="B35" s="32"/>
      <c r="C35" s="32" t="s">
        <v>127</v>
      </c>
      <c r="D35" s="32" t="s">
        <v>128</v>
      </c>
      <c r="E35" s="32" t="s">
        <v>273</v>
      </c>
    </row>
    <row r="36" spans="1:5" x14ac:dyDescent="0.25">
      <c r="A36" t="s">
        <v>132</v>
      </c>
      <c r="B36" s="32">
        <f>B32*588</f>
        <v>4116</v>
      </c>
      <c r="C36" s="32" t="s">
        <v>131</v>
      </c>
      <c r="D36" s="61">
        <f>PAGE2!D15</f>
        <v>1.3859999999999999</v>
      </c>
      <c r="E36" s="61">
        <f>PAGE2!D15</f>
        <v>1.3859999999999999</v>
      </c>
    </row>
    <row r="37" spans="1:5" x14ac:dyDescent="0.25">
      <c r="A37" t="s">
        <v>133</v>
      </c>
      <c r="B37" s="47">
        <f>B32*37.7</f>
        <v>263.90000000000003</v>
      </c>
      <c r="C37" s="32"/>
      <c r="D37" s="32"/>
    </row>
    <row r="38" spans="1:5" x14ac:dyDescent="0.25">
      <c r="A38" t="s">
        <v>134</v>
      </c>
      <c r="B38" s="47">
        <f>IFERROR(B36/B37,0)</f>
        <v>15.596816976127318</v>
      </c>
      <c r="C38" s="32"/>
      <c r="D38" s="32"/>
    </row>
    <row r="39" spans="1:5" x14ac:dyDescent="0.25">
      <c r="A39" s="52" t="s">
        <v>235</v>
      </c>
      <c r="B39" s="32"/>
      <c r="C39" s="32"/>
      <c r="D39" s="32"/>
    </row>
    <row r="40" spans="1:5" x14ac:dyDescent="0.25">
      <c r="A40" t="s">
        <v>3</v>
      </c>
      <c r="B40" s="32">
        <v>1</v>
      </c>
      <c r="C40" s="32"/>
      <c r="D40" s="32"/>
    </row>
    <row r="41" spans="1:5" x14ac:dyDescent="0.25">
      <c r="A41" t="s">
        <v>123</v>
      </c>
      <c r="B41" s="32" t="str">
        <f>F3</f>
        <v>20/180°</v>
      </c>
      <c r="C41" s="32"/>
      <c r="D41" s="32"/>
    </row>
    <row r="42" spans="1:5" x14ac:dyDescent="0.25">
      <c r="A42" t="s">
        <v>125</v>
      </c>
      <c r="B42" s="39">
        <v>7</v>
      </c>
      <c r="C42" s="32" t="s">
        <v>122</v>
      </c>
      <c r="D42" s="62">
        <f>FORM!D51</f>
        <v>64</v>
      </c>
      <c r="E42" s="63">
        <f>FORM!E51</f>
        <v>0.64</v>
      </c>
    </row>
    <row r="43" spans="1:5" x14ac:dyDescent="0.25">
      <c r="A43" t="s">
        <v>126</v>
      </c>
      <c r="B43" s="32">
        <f>B42*B17</f>
        <v>4410</v>
      </c>
      <c r="C43" s="32" t="s">
        <v>124</v>
      </c>
      <c r="D43" s="60">
        <f>D17*D42/100</f>
        <v>3.2</v>
      </c>
    </row>
    <row r="44" spans="1:5" x14ac:dyDescent="0.25">
      <c r="A44" t="s">
        <v>129</v>
      </c>
      <c r="B44" s="32">
        <f>B42</f>
        <v>7</v>
      </c>
      <c r="C44" s="32"/>
      <c r="D44" s="64" t="s">
        <v>271</v>
      </c>
      <c r="E44" s="53" t="s">
        <v>272</v>
      </c>
    </row>
    <row r="45" spans="1:5" x14ac:dyDescent="0.25">
      <c r="A45" s="38" t="s">
        <v>130</v>
      </c>
      <c r="B45" s="32"/>
      <c r="C45" s="32" t="s">
        <v>127</v>
      </c>
      <c r="D45" s="32" t="s">
        <v>128</v>
      </c>
      <c r="E45" s="32" t="s">
        <v>273</v>
      </c>
    </row>
    <row r="46" spans="1:5" x14ac:dyDescent="0.25">
      <c r="A46" t="s">
        <v>132</v>
      </c>
      <c r="B46" s="32">
        <f>B42*588</f>
        <v>4116</v>
      </c>
      <c r="C46" s="32" t="s">
        <v>131</v>
      </c>
      <c r="D46" s="61">
        <f>PAGE2!D15</f>
        <v>1.3859999999999999</v>
      </c>
      <c r="E46" s="61">
        <f>PAGE2!D15</f>
        <v>1.3859999999999999</v>
      </c>
    </row>
    <row r="47" spans="1:5" x14ac:dyDescent="0.25">
      <c r="A47" t="s">
        <v>133</v>
      </c>
      <c r="B47" s="47">
        <f>B42*37.7</f>
        <v>263.90000000000003</v>
      </c>
      <c r="C47" s="32"/>
      <c r="D47" s="32"/>
    </row>
    <row r="48" spans="1:5" x14ac:dyDescent="0.25">
      <c r="A48" t="s">
        <v>134</v>
      </c>
      <c r="B48" s="47">
        <f>IFERROR(B46/B47,0)</f>
        <v>15.596816976127318</v>
      </c>
      <c r="C48" s="32"/>
      <c r="D48" s="32"/>
    </row>
    <row r="49" spans="1:5" x14ac:dyDescent="0.25">
      <c r="A49" s="52" t="s">
        <v>236</v>
      </c>
      <c r="B49" s="32"/>
      <c r="C49" s="32"/>
      <c r="D49" s="32"/>
    </row>
    <row r="50" spans="1:5" x14ac:dyDescent="0.25">
      <c r="A50" t="s">
        <v>3</v>
      </c>
      <c r="B50" s="32">
        <v>1</v>
      </c>
      <c r="C50" s="32"/>
      <c r="D50" s="32"/>
    </row>
    <row r="51" spans="1:5" x14ac:dyDescent="0.25">
      <c r="A51" t="s">
        <v>123</v>
      </c>
      <c r="B51" s="32" t="str">
        <f>I3</f>
        <v>20/180°</v>
      </c>
      <c r="C51" s="32"/>
      <c r="D51" s="32"/>
    </row>
    <row r="52" spans="1:5" x14ac:dyDescent="0.25">
      <c r="A52" t="s">
        <v>125</v>
      </c>
      <c r="B52" s="39">
        <v>7</v>
      </c>
      <c r="C52" s="32" t="s">
        <v>122</v>
      </c>
      <c r="D52" s="62">
        <f>FORM!D61</f>
        <v>64</v>
      </c>
      <c r="E52" s="63">
        <f>FORM!E61</f>
        <v>0.64</v>
      </c>
    </row>
    <row r="53" spans="1:5" x14ac:dyDescent="0.25">
      <c r="A53" t="s">
        <v>126</v>
      </c>
      <c r="B53" s="32">
        <f>B52*B17</f>
        <v>4410</v>
      </c>
      <c r="C53" s="32" t="s">
        <v>124</v>
      </c>
      <c r="D53" s="60">
        <f>D17*D52/100</f>
        <v>3.2</v>
      </c>
    </row>
    <row r="54" spans="1:5" x14ac:dyDescent="0.25">
      <c r="A54" t="s">
        <v>129</v>
      </c>
      <c r="B54" s="32">
        <f>B52</f>
        <v>7</v>
      </c>
      <c r="C54" s="32"/>
      <c r="D54" s="64" t="s">
        <v>271</v>
      </c>
      <c r="E54" s="53" t="s">
        <v>272</v>
      </c>
    </row>
    <row r="55" spans="1:5" x14ac:dyDescent="0.25">
      <c r="A55" s="38" t="s">
        <v>130</v>
      </c>
      <c r="B55" s="32"/>
      <c r="C55" s="32" t="s">
        <v>127</v>
      </c>
      <c r="D55" s="32" t="s">
        <v>128</v>
      </c>
      <c r="E55" s="32" t="s">
        <v>273</v>
      </c>
    </row>
    <row r="56" spans="1:5" x14ac:dyDescent="0.25">
      <c r="A56" t="s">
        <v>132</v>
      </c>
      <c r="B56" s="32">
        <f>B52*588</f>
        <v>4116</v>
      </c>
      <c r="C56" s="32" t="s">
        <v>131</v>
      </c>
      <c r="D56" s="61">
        <f>PAGE2!D15</f>
        <v>1.3859999999999999</v>
      </c>
      <c r="E56" s="61">
        <f>PAGE2!D15</f>
        <v>1.3859999999999999</v>
      </c>
    </row>
    <row r="57" spans="1:5" x14ac:dyDescent="0.25">
      <c r="A57" t="s">
        <v>133</v>
      </c>
      <c r="B57" s="47">
        <f>B52*37.7</f>
        <v>263.90000000000003</v>
      </c>
      <c r="C57" s="32"/>
      <c r="D57" s="32"/>
    </row>
    <row r="58" spans="1:5" x14ac:dyDescent="0.25">
      <c r="A58" t="s">
        <v>134</v>
      </c>
      <c r="B58" s="47">
        <f>IFERROR(B56/B57,0)</f>
        <v>15.596816976127318</v>
      </c>
      <c r="C58" s="32"/>
      <c r="D58" s="32"/>
    </row>
    <row r="59" spans="1:5" x14ac:dyDescent="0.25">
      <c r="B59" s="32"/>
      <c r="C59" s="32"/>
      <c r="D59" s="32"/>
    </row>
    <row r="60" spans="1:5" x14ac:dyDescent="0.25">
      <c r="A60" s="52" t="s">
        <v>138</v>
      </c>
      <c r="B60" s="32"/>
      <c r="C60" s="55" t="s">
        <v>139</v>
      </c>
      <c r="D60" s="32"/>
    </row>
    <row r="61" spans="1:5" x14ac:dyDescent="0.25">
      <c r="A61" t="s">
        <v>126</v>
      </c>
      <c r="B61" s="47">
        <f>PAGE2!B14</f>
        <v>6.93</v>
      </c>
      <c r="C61" s="32" t="s">
        <v>124</v>
      </c>
      <c r="D61" s="32">
        <f>PAGE2!D14</f>
        <v>5</v>
      </c>
    </row>
    <row r="62" spans="1:5" x14ac:dyDescent="0.25">
      <c r="A62" t="s">
        <v>140</v>
      </c>
      <c r="B62" s="32">
        <f>B22+B32+B42+B52</f>
        <v>28</v>
      </c>
      <c r="C62" s="32" t="s">
        <v>141</v>
      </c>
      <c r="D62" s="32">
        <f>PAGE2!D13</f>
        <v>1</v>
      </c>
    </row>
    <row r="63" spans="1:5" x14ac:dyDescent="0.25">
      <c r="B63" s="32"/>
      <c r="C63" s="32" t="s">
        <v>142</v>
      </c>
      <c r="D63" s="49">
        <f>PAGE2!D15</f>
        <v>1.3859999999999999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FFDF-BE91-48DB-B0DD-E3F634F40A3E}">
  <dimension ref="A1:D22"/>
  <sheetViews>
    <sheetView tabSelected="1" workbookViewId="0">
      <selection activeCell="J8" sqref="J8"/>
    </sheetView>
  </sheetViews>
  <sheetFormatPr defaultRowHeight="15" x14ac:dyDescent="0.25"/>
  <cols>
    <col min="1" max="1" width="38" bestFit="1" customWidth="1"/>
    <col min="2" max="2" width="10" bestFit="1" customWidth="1"/>
    <col min="3" max="3" width="25.7109375" bestFit="1" customWidth="1"/>
  </cols>
  <sheetData>
    <row r="1" spans="1:4" ht="18.75" x14ac:dyDescent="0.3">
      <c r="A1" s="51" t="s">
        <v>237</v>
      </c>
    </row>
    <row r="2" spans="1:4" x14ac:dyDescent="0.25">
      <c r="A2" s="53" t="s">
        <v>86</v>
      </c>
      <c r="C2" s="53" t="s">
        <v>241</v>
      </c>
    </row>
    <row r="3" spans="1:4" x14ac:dyDescent="0.25">
      <c r="A3" t="s">
        <v>238</v>
      </c>
      <c r="B3">
        <f>PAGE2!F13</f>
        <v>1</v>
      </c>
      <c r="C3" t="s">
        <v>147</v>
      </c>
      <c r="D3" s="28">
        <f>B4*157/1000</f>
        <v>8.0069999999999997</v>
      </c>
    </row>
    <row r="4" spans="1:4" x14ac:dyDescent="0.25">
      <c r="A4" t="s">
        <v>92</v>
      </c>
      <c r="B4">
        <f>PAGE2!F14</f>
        <v>51</v>
      </c>
      <c r="C4" s="53" t="s">
        <v>242</v>
      </c>
    </row>
    <row r="5" spans="1:4" x14ac:dyDescent="0.25">
      <c r="A5" t="s">
        <v>239</v>
      </c>
      <c r="B5">
        <f>PAGE2!F15</f>
        <v>314</v>
      </c>
      <c r="C5" t="s">
        <v>243</v>
      </c>
      <c r="D5" s="28">
        <f>51*314*0.5*0.95/1000</f>
        <v>7.6066499999999992</v>
      </c>
    </row>
    <row r="6" spans="1:4" x14ac:dyDescent="0.25">
      <c r="A6" t="s">
        <v>240</v>
      </c>
      <c r="B6">
        <v>16.100000000000001</v>
      </c>
    </row>
    <row r="8" spans="1:4" ht="18.75" x14ac:dyDescent="0.3">
      <c r="A8" s="51" t="s">
        <v>244</v>
      </c>
    </row>
    <row r="9" spans="1:4" x14ac:dyDescent="0.25">
      <c r="A9" t="s">
        <v>245</v>
      </c>
      <c r="B9" s="28">
        <f>SUM(B12,D12,B16,D16)/((B12&gt;0)+(D12&gt;0)+(B16&gt;0)+(D16&gt;0))</f>
        <v>1.5238095238095239</v>
      </c>
    </row>
    <row r="10" spans="1:4" x14ac:dyDescent="0.25">
      <c r="A10" s="38" t="s">
        <v>156</v>
      </c>
      <c r="B10" s="7">
        <v>100</v>
      </c>
      <c r="C10" s="38" t="s">
        <v>159</v>
      </c>
      <c r="D10" s="7">
        <v>0</v>
      </c>
    </row>
    <row r="11" spans="1:4" x14ac:dyDescent="0.25">
      <c r="A11" t="s">
        <v>158</v>
      </c>
      <c r="B11" s="31">
        <f>0.0175*B10/6*1000</f>
        <v>291.66666666666669</v>
      </c>
      <c r="C11" t="s">
        <v>158</v>
      </c>
      <c r="D11" s="31">
        <f>0.0175*D10/6*1000</f>
        <v>0</v>
      </c>
    </row>
    <row r="12" spans="1:4" x14ac:dyDescent="0.25">
      <c r="A12" t="s">
        <v>155</v>
      </c>
      <c r="B12" s="28">
        <f>16^2*B11/1000/'PAGE 3'!B23*100</f>
        <v>1.6931216931216932</v>
      </c>
      <c r="C12" t="s">
        <v>155</v>
      </c>
      <c r="D12" s="28">
        <f>16^2*D11/1000/'PAGE 3'!B43*100</f>
        <v>0</v>
      </c>
    </row>
    <row r="14" spans="1:4" x14ac:dyDescent="0.25">
      <c r="A14" s="38" t="s">
        <v>157</v>
      </c>
      <c r="B14" s="7">
        <v>80</v>
      </c>
      <c r="C14" s="38" t="s">
        <v>160</v>
      </c>
      <c r="D14" s="7">
        <v>0</v>
      </c>
    </row>
    <row r="15" spans="1:4" x14ac:dyDescent="0.25">
      <c r="A15" t="s">
        <v>158</v>
      </c>
      <c r="B15" s="31">
        <f>0.0175*B14/6*1000</f>
        <v>233.33333333333337</v>
      </c>
      <c r="C15" t="s">
        <v>158</v>
      </c>
      <c r="D15" s="31">
        <f>0.0175*D14/6*1000</f>
        <v>0</v>
      </c>
    </row>
    <row r="16" spans="1:4" x14ac:dyDescent="0.25">
      <c r="A16" t="s">
        <v>155</v>
      </c>
      <c r="B16" s="28">
        <f>16^2*B15/1000/'PAGE 3'!B33*100</f>
        <v>1.3544973544973546</v>
      </c>
      <c r="C16" t="s">
        <v>155</v>
      </c>
      <c r="D16" s="28">
        <f>16^2*D15/1000/'PAGE 3'!B53*100</f>
        <v>0</v>
      </c>
    </row>
    <row r="18" spans="1:3" ht="18.75" x14ac:dyDescent="0.3">
      <c r="A18" s="51" t="s">
        <v>246</v>
      </c>
      <c r="B18" t="s">
        <v>271</v>
      </c>
      <c r="C18" t="s">
        <v>272</v>
      </c>
    </row>
    <row r="19" spans="1:3" x14ac:dyDescent="0.25">
      <c r="A19" t="s">
        <v>164</v>
      </c>
      <c r="B19" s="32">
        <v>220</v>
      </c>
      <c r="C19" s="32">
        <v>400</v>
      </c>
    </row>
    <row r="20" spans="1:3" x14ac:dyDescent="0.25">
      <c r="A20" s="53" t="s">
        <v>165</v>
      </c>
      <c r="B20" s="32" t="s">
        <v>271</v>
      </c>
      <c r="C20" s="32" t="s">
        <v>272</v>
      </c>
    </row>
    <row r="21" spans="1:3" x14ac:dyDescent="0.25">
      <c r="A21" t="s">
        <v>166</v>
      </c>
      <c r="B21" s="32" t="s">
        <v>274</v>
      </c>
      <c r="C21" s="32" t="s">
        <v>275</v>
      </c>
    </row>
    <row r="22" spans="1:3" x14ac:dyDescent="0.25">
      <c r="A22" t="s">
        <v>169</v>
      </c>
      <c r="B22" s="32">
        <v>10</v>
      </c>
      <c r="C22" s="32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9332-D084-413A-8CAF-4D4820F08251}">
  <dimension ref="A1:K21"/>
  <sheetViews>
    <sheetView workbookViewId="0">
      <selection activeCell="O14" sqref="O14"/>
    </sheetView>
  </sheetViews>
  <sheetFormatPr defaultRowHeight="15" x14ac:dyDescent="0.25"/>
  <cols>
    <col min="1" max="1" width="17.85546875" bestFit="1" customWidth="1"/>
    <col min="2" max="2" width="9.5703125" bestFit="1" customWidth="1"/>
    <col min="3" max="3" width="18.7109375" bestFit="1" customWidth="1"/>
  </cols>
  <sheetData>
    <row r="1" spans="1:11" ht="18.75" x14ac:dyDescent="0.3">
      <c r="A1" s="51" t="s">
        <v>247</v>
      </c>
    </row>
    <row r="2" spans="1:11" x14ac:dyDescent="0.25">
      <c r="A2" s="53" t="s">
        <v>248</v>
      </c>
    </row>
    <row r="3" spans="1:11" x14ac:dyDescent="0.25">
      <c r="A3" t="s">
        <v>96</v>
      </c>
      <c r="B3" s="59">
        <f>PAGE2!B18</f>
        <v>8662.42117125</v>
      </c>
      <c r="C3" t="s">
        <v>250</v>
      </c>
      <c r="D3" s="31">
        <f>PAGE2!D18</f>
        <v>1249.988625</v>
      </c>
    </row>
    <row r="4" spans="1:11" x14ac:dyDescent="0.25">
      <c r="A4" t="s">
        <v>249</v>
      </c>
      <c r="B4" s="59">
        <f>PAGE2!B19</f>
        <v>9600</v>
      </c>
      <c r="C4" t="s">
        <v>99</v>
      </c>
      <c r="D4" s="28">
        <f>PAGE2!F18</f>
        <v>81.451612903225808</v>
      </c>
    </row>
    <row r="5" spans="1:11" x14ac:dyDescent="0.25">
      <c r="C5" t="s">
        <v>100</v>
      </c>
      <c r="D5" s="28">
        <f>PAGE2!F19</f>
        <v>89.151411885937492</v>
      </c>
    </row>
    <row r="7" spans="1:11" x14ac:dyDescent="0.25">
      <c r="A7" s="53" t="s">
        <v>251</v>
      </c>
    </row>
    <row r="8" spans="1:11" x14ac:dyDescent="0.25">
      <c r="B8" t="s">
        <v>24</v>
      </c>
      <c r="C8" t="s">
        <v>27</v>
      </c>
      <c r="D8" t="s">
        <v>252</v>
      </c>
      <c r="E8" t="s">
        <v>33</v>
      </c>
      <c r="F8" t="s">
        <v>34</v>
      </c>
      <c r="G8" t="s">
        <v>253</v>
      </c>
      <c r="H8" t="s">
        <v>38</v>
      </c>
      <c r="I8" t="s">
        <v>39</v>
      </c>
      <c r="J8" t="s">
        <v>40</v>
      </c>
      <c r="K8" t="s">
        <v>254</v>
      </c>
    </row>
    <row r="9" spans="1:11" x14ac:dyDescent="0.25">
      <c r="A9" t="s">
        <v>44</v>
      </c>
      <c r="B9" s="67">
        <f>GlobHor_DiffHor!D11</f>
        <v>144</v>
      </c>
      <c r="C9" s="69">
        <f>GlobHor_DiffHor!F11</f>
        <v>79.2</v>
      </c>
      <c r="D9" s="67">
        <f>GlobHor_DiffHor!G11</f>
        <v>27.5</v>
      </c>
      <c r="E9" s="69">
        <f>GlobHor_DiffHor!L11</f>
        <v>138.96</v>
      </c>
      <c r="F9" s="69">
        <f>GlobHor_DiffHor!M11</f>
        <v>132.012</v>
      </c>
      <c r="G9" s="69">
        <f>GlobHor_DiffHor!O11</f>
        <v>750.17139120000002</v>
      </c>
      <c r="H9" s="69">
        <f>GlobHor_DiffHor!Q11</f>
        <v>768</v>
      </c>
      <c r="I9" s="69">
        <f>GlobHor_DiffHor!R11</f>
        <v>750.17139120000002</v>
      </c>
      <c r="J9" s="67">
        <f>GlobHor_DiffHor!S11</f>
        <v>0</v>
      </c>
      <c r="K9" s="69">
        <f>GlobHor_DiffHor!U11</f>
        <v>17.828608799999984</v>
      </c>
    </row>
    <row r="10" spans="1:11" x14ac:dyDescent="0.25">
      <c r="A10" t="s">
        <v>105</v>
      </c>
      <c r="B10" s="67">
        <f>GlobHor_DiffHor!D12</f>
        <v>126.00000000000001</v>
      </c>
      <c r="C10" s="69">
        <f>GlobHor_DiffHor!F12</f>
        <v>65.52000000000001</v>
      </c>
      <c r="D10" s="67">
        <f>GlobHor_DiffHor!G12</f>
        <v>27.8</v>
      </c>
      <c r="E10" s="69">
        <f>GlobHor_DiffHor!L12</f>
        <v>121.59</v>
      </c>
      <c r="F10" s="69">
        <f>GlobHor_DiffHor!M12</f>
        <v>115.51049999999999</v>
      </c>
      <c r="G10" s="69">
        <f>GlobHor_DiffHor!O12</f>
        <v>648.39508965000005</v>
      </c>
      <c r="H10" s="69">
        <f>GlobHor_DiffHor!Q12</f>
        <v>720</v>
      </c>
      <c r="I10" s="69">
        <f>GlobHor_DiffHor!R12</f>
        <v>648.39508965000005</v>
      </c>
      <c r="J10" s="69">
        <f>GlobHor_DiffHor!S12</f>
        <v>0</v>
      </c>
      <c r="K10" s="69">
        <f>GlobHor_DiffHor!U12</f>
        <v>71.604910349999955</v>
      </c>
    </row>
    <row r="11" spans="1:11" x14ac:dyDescent="0.25">
      <c r="A11" t="s">
        <v>108</v>
      </c>
      <c r="B11" s="67">
        <f>GlobHor_DiffHor!D13</f>
        <v>108</v>
      </c>
      <c r="C11" s="69">
        <f>GlobHor_DiffHor!F13</f>
        <v>51.839999999999996</v>
      </c>
      <c r="D11" s="67">
        <f>GlobHor_DiffHor!G13</f>
        <v>28.2</v>
      </c>
      <c r="E11" s="69">
        <f>GlobHor_DiffHor!L13</f>
        <v>104.22</v>
      </c>
      <c r="F11" s="69">
        <f>GlobHor_DiffHor!M13</f>
        <v>99.009</v>
      </c>
      <c r="G11" s="69">
        <f>GlobHor_DiffHor!O13</f>
        <v>535.18324859999996</v>
      </c>
      <c r="H11" s="69">
        <f>GlobHor_DiffHor!Q13</f>
        <v>768</v>
      </c>
      <c r="I11" s="69">
        <f>GlobHor_DiffHor!R13</f>
        <v>535.18324859999996</v>
      </c>
      <c r="J11" s="69">
        <f>GlobHor_DiffHor!S13</f>
        <v>0</v>
      </c>
      <c r="K11" s="69">
        <f>GlobHor_DiffHor!U13</f>
        <v>232.81675140000004</v>
      </c>
    </row>
    <row r="12" spans="1:11" x14ac:dyDescent="0.25">
      <c r="A12" t="s">
        <v>111</v>
      </c>
      <c r="B12" s="67">
        <f>GlobHor_DiffHor!D14</f>
        <v>162</v>
      </c>
      <c r="C12" s="69">
        <f>GlobHor_DiffHor!F14</f>
        <v>81</v>
      </c>
      <c r="D12" s="67">
        <f>GlobHor_DiffHor!G14</f>
        <v>28.5</v>
      </c>
      <c r="E12" s="69">
        <f>GlobHor_DiffHor!L14</f>
        <v>156.32999999999998</v>
      </c>
      <c r="F12" s="69">
        <f>GlobHor_DiffHor!M14</f>
        <v>148.51349999999996</v>
      </c>
      <c r="G12" s="69">
        <f>GlobHor_DiffHor!O14</f>
        <v>843.94281509999973</v>
      </c>
      <c r="H12" s="69">
        <f>GlobHor_DiffHor!Q14</f>
        <v>816.00000000000011</v>
      </c>
      <c r="I12" s="69">
        <f>GlobHor_DiffHor!R14</f>
        <v>816.00000000000011</v>
      </c>
      <c r="J12" s="69">
        <f>GlobHor_DiffHor!S14</f>
        <v>27.942815099999621</v>
      </c>
      <c r="K12" s="69">
        <f>GlobHor_DiffHor!U14</f>
        <v>0</v>
      </c>
    </row>
    <row r="13" spans="1:11" x14ac:dyDescent="0.25">
      <c r="A13" t="s">
        <v>48</v>
      </c>
      <c r="B13" s="67">
        <f>GlobHor_DiffHor!D15</f>
        <v>144</v>
      </c>
      <c r="C13" s="69">
        <f>GlobHor_DiffHor!F15</f>
        <v>76.320000000000007</v>
      </c>
      <c r="D13" s="67">
        <f>GlobHor_DiffHor!G15</f>
        <v>28.8</v>
      </c>
      <c r="E13" s="69">
        <f>GlobHor_DiffHor!L15</f>
        <v>138.96</v>
      </c>
      <c r="F13" s="69">
        <f>GlobHor_DiffHor!M15</f>
        <v>132.012</v>
      </c>
      <c r="G13" s="69">
        <f>GlobHor_DiffHor!O15</f>
        <v>759.3198228</v>
      </c>
      <c r="H13" s="69">
        <f>GlobHor_DiffHor!Q15</f>
        <v>864</v>
      </c>
      <c r="I13" s="69">
        <f>GlobHor_DiffHor!R15</f>
        <v>759.3198228</v>
      </c>
      <c r="J13" s="69">
        <f>GlobHor_DiffHor!S15</f>
        <v>0</v>
      </c>
      <c r="K13" s="69">
        <f>GlobHor_DiffHor!U15</f>
        <v>104.6801772</v>
      </c>
    </row>
    <row r="14" spans="1:11" x14ac:dyDescent="0.25">
      <c r="A14" t="s">
        <v>49</v>
      </c>
      <c r="B14" s="67">
        <f>GlobHor_DiffHor!D16</f>
        <v>162</v>
      </c>
      <c r="C14" s="69">
        <f>GlobHor_DiffHor!F16</f>
        <v>79.38</v>
      </c>
      <c r="D14" s="67">
        <f>GlobHor_DiffHor!G16</f>
        <v>28.9</v>
      </c>
      <c r="E14" s="69">
        <f>GlobHor_DiffHor!L16</f>
        <v>156.32999999999998</v>
      </c>
      <c r="F14" s="69">
        <f>GlobHor_DiffHor!M16</f>
        <v>148.51349999999996</v>
      </c>
      <c r="G14" s="69">
        <f>GlobHor_DiffHor!O16</f>
        <v>843.94281509999973</v>
      </c>
      <c r="H14" s="69">
        <f>GlobHor_DiffHor!Q16</f>
        <v>912</v>
      </c>
      <c r="I14" s="69">
        <f>GlobHor_DiffHor!R16</f>
        <v>843.94281509999973</v>
      </c>
      <c r="J14" s="69">
        <f>GlobHor_DiffHor!S16</f>
        <v>0</v>
      </c>
      <c r="K14" s="69">
        <f>GlobHor_DiffHor!U16</f>
        <v>68.057184900000266</v>
      </c>
    </row>
    <row r="15" spans="1:11" x14ac:dyDescent="0.25">
      <c r="A15" t="s">
        <v>106</v>
      </c>
      <c r="B15" s="67">
        <f>GlobHor_DiffHor!D17</f>
        <v>144</v>
      </c>
      <c r="C15" s="69">
        <f>GlobHor_DiffHor!F17</f>
        <v>64.8</v>
      </c>
      <c r="D15" s="67">
        <f>GlobHor_DiffHor!G17</f>
        <v>28.7</v>
      </c>
      <c r="E15" s="69">
        <f>GlobHor_DiffHor!L17</f>
        <v>138.96</v>
      </c>
      <c r="F15" s="69">
        <f>GlobHor_DiffHor!M17</f>
        <v>132.012</v>
      </c>
      <c r="G15" s="69">
        <f>GlobHor_DiffHor!O17</f>
        <v>741.02295960000004</v>
      </c>
      <c r="H15" s="69">
        <f>GlobHor_DiffHor!Q17</f>
        <v>864</v>
      </c>
      <c r="I15" s="69">
        <f>GlobHor_DiffHor!R17</f>
        <v>741.02295960000004</v>
      </c>
      <c r="J15" s="69">
        <f>GlobHor_DiffHor!S17</f>
        <v>0</v>
      </c>
      <c r="K15" s="69">
        <f>GlobHor_DiffHor!U17</f>
        <v>122.97704039999996</v>
      </c>
    </row>
    <row r="16" spans="1:11" x14ac:dyDescent="0.25">
      <c r="A16" t="s">
        <v>109</v>
      </c>
      <c r="B16" s="67">
        <f>GlobHor_DiffHor!D18</f>
        <v>144</v>
      </c>
      <c r="C16" s="69">
        <f>GlobHor_DiffHor!F18</f>
        <v>66.240000000000009</v>
      </c>
      <c r="D16" s="67">
        <f>GlobHor_DiffHor!G18</f>
        <v>28.6</v>
      </c>
      <c r="E16" s="69">
        <f>GlobHor_DiffHor!L18</f>
        <v>138.96</v>
      </c>
      <c r="F16" s="69">
        <f>GlobHor_DiffHor!M18</f>
        <v>132.012</v>
      </c>
      <c r="G16" s="69">
        <f>GlobHor_DiffHor!O18</f>
        <v>722.72609640000007</v>
      </c>
      <c r="H16" s="69">
        <f>GlobHor_DiffHor!Q18</f>
        <v>816.00000000000011</v>
      </c>
      <c r="I16" s="69">
        <f>GlobHor_DiffHor!R18</f>
        <v>722.72609640000007</v>
      </c>
      <c r="J16" s="69">
        <f>GlobHor_DiffHor!S18</f>
        <v>0</v>
      </c>
      <c r="K16" s="69">
        <f>GlobHor_DiffHor!U18</f>
        <v>93.27390360000004</v>
      </c>
    </row>
    <row r="17" spans="1:11" x14ac:dyDescent="0.25">
      <c r="A17" t="s">
        <v>112</v>
      </c>
      <c r="B17" s="67">
        <f>GlobHor_DiffHor!D19</f>
        <v>162</v>
      </c>
      <c r="C17" s="69">
        <f>GlobHor_DiffHor!F19</f>
        <v>81</v>
      </c>
      <c r="D17" s="67">
        <f>GlobHor_DiffHor!G19</f>
        <v>28.3</v>
      </c>
      <c r="E17" s="69">
        <f>GlobHor_DiffHor!L19</f>
        <v>156.32999999999998</v>
      </c>
      <c r="F17" s="69">
        <f>GlobHor_DiffHor!M19</f>
        <v>148.51349999999996</v>
      </c>
      <c r="G17" s="69">
        <f>GlobHor_DiffHor!O19</f>
        <v>843.94281509999973</v>
      </c>
      <c r="H17" s="69">
        <f>GlobHor_DiffHor!Q19</f>
        <v>768</v>
      </c>
      <c r="I17" s="69">
        <f>GlobHor_DiffHor!R19</f>
        <v>768</v>
      </c>
      <c r="J17" s="69">
        <f>GlobHor_DiffHor!S19</f>
        <v>75.942815099999734</v>
      </c>
      <c r="K17" s="69">
        <f>GlobHor_DiffHor!U19</f>
        <v>0</v>
      </c>
    </row>
    <row r="18" spans="1:11" x14ac:dyDescent="0.25">
      <c r="A18" t="s">
        <v>53</v>
      </c>
      <c r="B18" s="67">
        <f>GlobHor_DiffHor!D20</f>
        <v>144</v>
      </c>
      <c r="C18" s="69">
        <f>GlobHor_DiffHor!F20</f>
        <v>79.2</v>
      </c>
      <c r="D18" s="67">
        <f>GlobHor_DiffHor!G20</f>
        <v>28</v>
      </c>
      <c r="E18" s="69">
        <f>GlobHor_DiffHor!L20</f>
        <v>138.96</v>
      </c>
      <c r="F18" s="69">
        <f>GlobHor_DiffHor!M20</f>
        <v>132.012</v>
      </c>
      <c r="G18" s="69">
        <f>GlobHor_DiffHor!O20</f>
        <v>759.3198228</v>
      </c>
      <c r="H18" s="69">
        <f>GlobHor_DiffHor!Q20</f>
        <v>768</v>
      </c>
      <c r="I18" s="69">
        <f>GlobHor_DiffHor!R20</f>
        <v>759.3198228</v>
      </c>
      <c r="J18" s="69">
        <f>GlobHor_DiffHor!S20</f>
        <v>0</v>
      </c>
      <c r="K18" s="69">
        <f>GlobHor_DiffHor!U20</f>
        <v>8.6801772000000028</v>
      </c>
    </row>
    <row r="19" spans="1:11" x14ac:dyDescent="0.25">
      <c r="A19" t="s">
        <v>104</v>
      </c>
      <c r="B19" s="67">
        <f>GlobHor_DiffHor!D21</f>
        <v>108</v>
      </c>
      <c r="C19" s="69">
        <f>GlobHor_DiffHor!F21</f>
        <v>66.959999999999994</v>
      </c>
      <c r="D19" s="67">
        <f>GlobHor_DiffHor!G21</f>
        <v>27.7</v>
      </c>
      <c r="E19" s="69">
        <f>GlobHor_DiffHor!L21</f>
        <v>104.22</v>
      </c>
      <c r="F19" s="69">
        <f>GlobHor_DiffHor!M21</f>
        <v>99.009</v>
      </c>
      <c r="G19" s="69">
        <f>GlobHor_DiffHor!O21</f>
        <v>542.04457229999991</v>
      </c>
      <c r="H19" s="69">
        <f>GlobHor_DiffHor!Q21</f>
        <v>720</v>
      </c>
      <c r="I19" s="69">
        <f>GlobHor_DiffHor!R21</f>
        <v>542.04457229999991</v>
      </c>
      <c r="J19" s="69">
        <f>GlobHor_DiffHor!S21</f>
        <v>0</v>
      </c>
      <c r="K19" s="69">
        <f>GlobHor_DiffHor!U21</f>
        <v>177.95542770000009</v>
      </c>
    </row>
    <row r="20" spans="1:11" x14ac:dyDescent="0.25">
      <c r="A20" t="s">
        <v>107</v>
      </c>
      <c r="B20" s="67">
        <f>GlobHor_DiffHor!D22</f>
        <v>126.00000000000001</v>
      </c>
      <c r="C20" s="69">
        <f>GlobHor_DiffHor!F22</f>
        <v>75.600000000000009</v>
      </c>
      <c r="D20" s="67">
        <f>GlobHor_DiffHor!G22</f>
        <v>27.5</v>
      </c>
      <c r="E20" s="69">
        <f>GlobHor_DiffHor!L22</f>
        <v>121.59</v>
      </c>
      <c r="F20" s="69">
        <f>GlobHor_DiffHor!M22</f>
        <v>115.51049999999999</v>
      </c>
      <c r="G20" s="69">
        <f>GlobHor_DiffHor!O22</f>
        <v>672.4097225999999</v>
      </c>
      <c r="H20" s="69">
        <f>GlobHor_DiffHor!Q22</f>
        <v>816.00000000000011</v>
      </c>
      <c r="I20" s="69">
        <f>GlobHor_DiffHor!R22</f>
        <v>672.4097225999999</v>
      </c>
      <c r="J20" s="69">
        <f>GlobHor_DiffHor!S22</f>
        <v>0</v>
      </c>
      <c r="K20" s="69">
        <f>GlobHor_DiffHor!U22</f>
        <v>143.59027740000022</v>
      </c>
    </row>
    <row r="21" spans="1:11" x14ac:dyDescent="0.25">
      <c r="A21" s="38" t="s">
        <v>110</v>
      </c>
      <c r="B21" s="67">
        <f>GlobHor_DiffHor!D23</f>
        <v>1674</v>
      </c>
      <c r="C21" s="69">
        <f>GlobHor_DiffHor!F23</f>
        <v>867.06000000000017</v>
      </c>
      <c r="D21" s="68">
        <f>GlobHor_DiffHor!G23</f>
        <v>28.208333333333332</v>
      </c>
      <c r="E21" s="69">
        <f>GlobHor_DiffHor!L23</f>
        <v>1615.4099999999999</v>
      </c>
      <c r="F21" s="69">
        <f>GlobHor_DiffHor!M23</f>
        <v>1534.6395</v>
      </c>
      <c r="G21" s="69">
        <f>GlobHor_DiffHor!O23</f>
        <v>8662.42117125</v>
      </c>
      <c r="H21" s="69">
        <f>GlobHor_DiffHor!Q23</f>
        <v>9600</v>
      </c>
      <c r="I21" s="69">
        <f>GlobHor_DiffHor!R23</f>
        <v>8558.5355410499997</v>
      </c>
      <c r="J21" s="69">
        <f>GlobHor_DiffHor!S23</f>
        <v>103.88563019999935</v>
      </c>
      <c r="K21" s="69">
        <f>GlobHor_DiffHor!U23</f>
        <v>1041.4644589500006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BB87-735A-4CDF-9FDA-1572626E3E95}">
  <dimension ref="A1:B10"/>
  <sheetViews>
    <sheetView workbookViewId="0">
      <selection activeCell="B10" sqref="B10"/>
    </sheetView>
  </sheetViews>
  <sheetFormatPr defaultRowHeight="15" x14ac:dyDescent="0.25"/>
  <cols>
    <col min="1" max="1" width="23.5703125" bestFit="1" customWidth="1"/>
  </cols>
  <sheetData>
    <row r="1" spans="1:2" ht="18.75" x14ac:dyDescent="0.3">
      <c r="A1" s="51" t="s">
        <v>255</v>
      </c>
    </row>
    <row r="3" spans="1:2" x14ac:dyDescent="0.25">
      <c r="A3" t="s">
        <v>24</v>
      </c>
      <c r="B3">
        <f>'PAGE 5'!B21</f>
        <v>1674</v>
      </c>
    </row>
    <row r="4" spans="1:2" x14ac:dyDescent="0.25">
      <c r="A4" t="s">
        <v>256</v>
      </c>
      <c r="B4" s="31">
        <f>GlobHor_DiffHor!L23</f>
        <v>1615.4099999999999</v>
      </c>
    </row>
    <row r="5" spans="1:2" x14ac:dyDescent="0.25">
      <c r="A5" t="s">
        <v>257</v>
      </c>
      <c r="B5" s="59">
        <f>GlobHor_DiffHor!O23</f>
        <v>8662.42117125</v>
      </c>
    </row>
    <row r="6" spans="1:2" x14ac:dyDescent="0.25">
      <c r="A6" t="s">
        <v>258</v>
      </c>
      <c r="B6" s="59">
        <f>'PVsyst Graph Data'!B14</f>
        <v>7926.1153716937506</v>
      </c>
    </row>
    <row r="7" spans="1:2" x14ac:dyDescent="0.25">
      <c r="A7" t="s">
        <v>259</v>
      </c>
      <c r="B7" s="59">
        <f>'PVsyst Graph Data'!B16</f>
        <v>7670.5647303257501</v>
      </c>
    </row>
    <row r="8" spans="1:2" x14ac:dyDescent="0.25">
      <c r="A8" t="s">
        <v>260</v>
      </c>
      <c r="B8" s="59">
        <f>GlobHor_DiffHor!U23</f>
        <v>1041.4644589500006</v>
      </c>
    </row>
    <row r="9" spans="1:2" x14ac:dyDescent="0.25">
      <c r="A9" t="s">
        <v>261</v>
      </c>
      <c r="B9" s="28">
        <f>'PVsyst Graph Data'!B29</f>
        <v>6846.8284328399996</v>
      </c>
    </row>
    <row r="10" spans="1:2" x14ac:dyDescent="0.25">
      <c r="A10" t="s">
        <v>262</v>
      </c>
      <c r="B10" s="28">
        <f>GlobHor_DiffHor!S23</f>
        <v>103.88563019999935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FEB8-6AD3-4DE8-96BA-CB7BCA6912F0}">
  <dimension ref="A1:O17"/>
  <sheetViews>
    <sheetView workbookViewId="0">
      <selection activeCell="H22" sqref="H22"/>
    </sheetView>
  </sheetViews>
  <sheetFormatPr defaultRowHeight="15" x14ac:dyDescent="0.25"/>
  <cols>
    <col min="1" max="1" width="31" bestFit="1" customWidth="1"/>
    <col min="14" max="14" width="17.5703125" customWidth="1"/>
    <col min="15" max="15" width="11.5703125" bestFit="1" customWidth="1"/>
  </cols>
  <sheetData>
    <row r="1" spans="1:15" ht="18.75" x14ac:dyDescent="0.3">
      <c r="A1" s="51" t="s">
        <v>263</v>
      </c>
      <c r="N1" s="53" t="s">
        <v>276</v>
      </c>
    </row>
    <row r="2" spans="1:15" x14ac:dyDescent="0.25">
      <c r="A2" t="s">
        <v>265</v>
      </c>
      <c r="B2" s="7">
        <v>3.8</v>
      </c>
      <c r="N2" t="s">
        <v>290</v>
      </c>
      <c r="O2" t="s">
        <v>291</v>
      </c>
    </row>
    <row r="3" spans="1:15" x14ac:dyDescent="0.25">
      <c r="A3" t="s">
        <v>264</v>
      </c>
      <c r="B3">
        <v>5.7</v>
      </c>
      <c r="N3" s="5" t="s">
        <v>277</v>
      </c>
      <c r="O3" s="56">
        <v>3.5000000000000003E-2</v>
      </c>
    </row>
    <row r="4" spans="1:15" x14ac:dyDescent="0.25">
      <c r="N4" s="5" t="s">
        <v>278</v>
      </c>
      <c r="O4" s="56">
        <v>3.5000000000000003E-2</v>
      </c>
    </row>
    <row r="5" spans="1:15" x14ac:dyDescent="0.25">
      <c r="A5" t="s">
        <v>266</v>
      </c>
      <c r="N5" s="5" t="s">
        <v>279</v>
      </c>
      <c r="O5" s="56">
        <v>3.7999999999999999E-2</v>
      </c>
    </row>
    <row r="6" spans="1:15" x14ac:dyDescent="0.25">
      <c r="A6" t="s">
        <v>198</v>
      </c>
      <c r="B6" s="31">
        <f>GlobHor_DiffHor!O27</f>
        <v>491.01488549850529</v>
      </c>
      <c r="N6" s="5" t="s">
        <v>280</v>
      </c>
      <c r="O6" s="56">
        <v>3.7999999999999999E-2</v>
      </c>
    </row>
    <row r="7" spans="1:15" x14ac:dyDescent="0.25">
      <c r="A7" t="s">
        <v>267</v>
      </c>
      <c r="B7" s="31">
        <f>GlobHor_DiffHor!O28</f>
        <v>8662.42117125</v>
      </c>
      <c r="N7" s="5" t="s">
        <v>281</v>
      </c>
      <c r="O7" s="56">
        <v>3.9E-2</v>
      </c>
    </row>
    <row r="8" spans="1:15" x14ac:dyDescent="0.25">
      <c r="A8" t="s">
        <v>67</v>
      </c>
      <c r="B8" s="31">
        <f>GlobHor_DiffHor!O29</f>
        <v>8331.4771384240066</v>
      </c>
      <c r="N8" s="5" t="s">
        <v>65</v>
      </c>
      <c r="O8" s="56">
        <v>3.9E-2</v>
      </c>
    </row>
    <row r="9" spans="1:15" x14ac:dyDescent="0.25">
      <c r="A9" t="s">
        <v>64</v>
      </c>
      <c r="B9" s="31">
        <f>GlobHor_DiffHor!O30</f>
        <v>8032.9400880409166</v>
      </c>
      <c r="N9" s="5" t="s">
        <v>282</v>
      </c>
      <c r="O9" s="56">
        <v>3.9E-2</v>
      </c>
    </row>
    <row r="10" spans="1:15" x14ac:dyDescent="0.25">
      <c r="N10" s="5" t="s">
        <v>283</v>
      </c>
      <c r="O10" s="56">
        <v>0.04</v>
      </c>
    </row>
    <row r="11" spans="1:15" x14ac:dyDescent="0.25">
      <c r="N11" s="5" t="s">
        <v>284</v>
      </c>
      <c r="O11" s="56">
        <v>0.04</v>
      </c>
    </row>
    <row r="12" spans="1:15" x14ac:dyDescent="0.25">
      <c r="N12" s="5" t="s">
        <v>70</v>
      </c>
      <c r="O12" s="56">
        <v>0.04</v>
      </c>
    </row>
    <row r="13" spans="1:15" x14ac:dyDescent="0.25">
      <c r="N13" s="5" t="s">
        <v>285</v>
      </c>
      <c r="O13" s="56">
        <v>4.2000000000000003E-2</v>
      </c>
    </row>
    <row r="14" spans="1:15" x14ac:dyDescent="0.25">
      <c r="N14" s="5" t="s">
        <v>286</v>
      </c>
      <c r="O14" s="56">
        <v>4.2999999999999997E-2</v>
      </c>
    </row>
    <row r="15" spans="1:15" x14ac:dyDescent="0.25">
      <c r="N15" s="5" t="s">
        <v>287</v>
      </c>
      <c r="O15" s="56">
        <v>4.2999999999999997E-2</v>
      </c>
    </row>
    <row r="16" spans="1:15" x14ac:dyDescent="0.25">
      <c r="N16" s="5" t="s">
        <v>288</v>
      </c>
      <c r="O16" s="56">
        <v>4.4999999999999998E-2</v>
      </c>
    </row>
    <row r="17" spans="14:15" x14ac:dyDescent="0.25">
      <c r="N17" s="5" t="s">
        <v>289</v>
      </c>
      <c r="O17" s="56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</vt:lpstr>
      <vt:lpstr>GlobHor_DiffHor</vt:lpstr>
      <vt:lpstr>PVsyst Graph Data</vt:lpstr>
      <vt:lpstr>PAGE 1</vt:lpstr>
      <vt:lpstr>PAGE2</vt:lpstr>
      <vt:lpstr>PAGE 3</vt:lpstr>
      <vt:lpstr>PAGE 4</vt:lpstr>
      <vt:lpstr>PAGE 5</vt:lpstr>
      <vt:lpstr>PAGE 6</vt:lpstr>
      <vt:lpstr>PAGE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Zarith Husna</cp:lastModifiedBy>
  <dcterms:created xsi:type="dcterms:W3CDTF">2026-08-24T14:02:00Z</dcterms:created>
  <dcterms:modified xsi:type="dcterms:W3CDTF">2026-08-28T03:56:55Z</dcterms:modified>
</cp:coreProperties>
</file>